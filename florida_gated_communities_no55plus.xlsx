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L Gated Comm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i val="1"/>
      <color rgb="00888888"/>
      <sz val="8"/>
    </font>
    <font>
      <name val="Arial"/>
      <b val="1"/>
      <color rgb="00FFFFFF"/>
      <sz val="10"/>
    </font>
    <font>
      <name val="Arial"/>
      <b val="1"/>
      <color rgb="001F4E79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5F9FC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/>
    </xf>
    <xf numFmtId="0" fontId="0" fillId="0" borderId="2" pivotButton="0" quotePrefix="0" xfId="0"/>
    <xf numFmtId="0" fontId="0" fillId="0" borderId="3" pivotButton="0" quotePrefix="0" xfId="0"/>
    <xf numFmtId="0" fontId="5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50" customWidth="1" min="4" max="4"/>
    <col width="18" customWidth="1" min="5" max="5"/>
    <col width="16" customWidth="1" min="6" max="6"/>
  </cols>
  <sheetData>
    <row r="1">
      <c r="A1" s="1" t="inlineStr">
        <is>
          <t>FLORIDA GATED COMMUNITIES — COMPREHENSIVE DIRECTORY</t>
        </is>
      </c>
    </row>
    <row r="2">
      <c r="A2" s="2" t="inlineStr">
        <is>
          <t>Compiled Feb 2026. Florida has ~10% of homes in gated communities (thousands statewide). This is the most comprehensive list available from public sources.</t>
        </is>
      </c>
    </row>
    <row r="3"/>
    <row r="4">
      <c r="A4" s="3" t="inlineStr">
        <is>
          <t>Community Name</t>
        </is>
      </c>
      <c r="B4" s="3" t="inlineStr">
        <is>
          <t>City/Area</t>
        </is>
      </c>
      <c r="C4" s="3" t="inlineStr">
        <is>
          <t>Type</t>
        </is>
      </c>
      <c r="D4" s="3" t="inlineStr">
        <is>
          <t>Key Amenities</t>
        </is>
      </c>
      <c r="E4" s="3" t="inlineStr">
        <is>
          <t>Price Range</t>
        </is>
      </c>
      <c r="F4" s="3" t="inlineStr">
        <is>
          <t>Security</t>
        </is>
      </c>
    </row>
    <row r="5">
      <c r="A5" s="4">
        <f>== SOUTHWEST FLORIDA — NAPLES / COLLIER COUNTY ===</f>
        <v/>
      </c>
      <c r="B5" s="5" t="n"/>
      <c r="C5" s="5" t="n"/>
      <c r="D5" s="5" t="n"/>
      <c r="E5" s="5" t="n"/>
      <c r="F5" s="6" t="n"/>
    </row>
    <row r="6">
      <c r="A6" s="7" t="inlineStr">
        <is>
          <t>Andalucia</t>
        </is>
      </c>
      <c r="B6" s="7" t="inlineStr">
        <is>
          <t>Naples</t>
        </is>
      </c>
      <c r="C6" s="7" t="inlineStr">
        <is>
          <t>Gated</t>
        </is>
      </c>
      <c r="D6" s="7" t="inlineStr">
        <is>
          <t>Mediterranean-style homes, community pool, gated entry</t>
        </is>
      </c>
      <c r="E6" s="7" t="inlineStr">
        <is>
          <t>$300K–$500K</t>
        </is>
      </c>
      <c r="F6" s="7" t="inlineStr">
        <is>
          <t>Gated</t>
        </is>
      </c>
    </row>
    <row r="7">
      <c r="A7" s="8" t="inlineStr">
        <is>
          <t>Arboretum</t>
        </is>
      </c>
      <c r="B7" s="8" t="inlineStr">
        <is>
          <t>Naples</t>
        </is>
      </c>
      <c r="C7" s="8" t="inlineStr">
        <is>
          <t>Gated</t>
        </is>
      </c>
      <c r="D7" s="8" t="inlineStr">
        <is>
          <t>Community pool, lake views, walking paths</t>
        </is>
      </c>
      <c r="E7" s="8" t="inlineStr">
        <is>
          <t>$200K–$400K</t>
        </is>
      </c>
      <c r="F7" s="8" t="inlineStr">
        <is>
          <t>Gated</t>
        </is>
      </c>
    </row>
    <row r="8">
      <c r="A8" s="7" t="inlineStr">
        <is>
          <t>Artesia</t>
        </is>
      </c>
      <c r="B8" s="7" t="inlineStr">
        <is>
          <t>Naples</t>
        </is>
      </c>
      <c r="C8" s="7" t="inlineStr">
        <is>
          <t>Gated</t>
        </is>
      </c>
      <c r="D8" s="7" t="inlineStr">
        <is>
          <t>Pool, fitness, modern homes</t>
        </is>
      </c>
      <c r="E8" s="7" t="inlineStr">
        <is>
          <t>$300K–$600K</t>
        </is>
      </c>
      <c r="F8" s="7" t="inlineStr">
        <is>
          <t>Gated</t>
        </is>
      </c>
    </row>
    <row r="9">
      <c r="A9" s="8" t="inlineStr">
        <is>
          <t>Audubon Country Club</t>
        </is>
      </c>
      <c r="B9" s="8" t="inlineStr">
        <is>
          <t>Naples</t>
        </is>
      </c>
      <c r="C9" s="8" t="inlineStr">
        <is>
          <t>Golf/Gated</t>
        </is>
      </c>
      <c r="D9" s="8" t="inlineStr">
        <is>
          <t>Golf course, tennis, pool, fitness, clubhouse</t>
        </is>
      </c>
      <c r="E9" s="8" t="inlineStr">
        <is>
          <t>$500K–$2M</t>
        </is>
      </c>
      <c r="F9" s="8" t="inlineStr">
        <is>
          <t>Gated</t>
        </is>
      </c>
    </row>
    <row r="10">
      <c r="A10" s="7" t="inlineStr">
        <is>
          <t>Autumn Woods</t>
        </is>
      </c>
      <c r="B10" s="7" t="inlineStr">
        <is>
          <t>Naples</t>
        </is>
      </c>
      <c r="C10" s="7" t="inlineStr">
        <is>
          <t>Gated</t>
        </is>
      </c>
      <c r="D10" s="7" t="inlineStr">
        <is>
          <t>Resort-style amenities, pool, community center</t>
        </is>
      </c>
      <c r="E10" s="7" t="inlineStr">
        <is>
          <t>$300K–$600K</t>
        </is>
      </c>
      <c r="F10" s="7" t="inlineStr">
        <is>
          <t>Gated</t>
        </is>
      </c>
    </row>
    <row r="11">
      <c r="A11" s="8" t="inlineStr">
        <is>
          <t>Avery Square</t>
        </is>
      </c>
      <c r="B11" s="8" t="inlineStr">
        <is>
          <t>Naples</t>
        </is>
      </c>
      <c r="C11" s="8" t="inlineStr">
        <is>
          <t>Gated</t>
        </is>
      </c>
      <c r="D11" s="8" t="inlineStr">
        <is>
          <t>Pool, fitness, walking paths</t>
        </is>
      </c>
      <c r="E11" s="8" t="inlineStr">
        <is>
          <t>$250K–$450K</t>
        </is>
      </c>
      <c r="F11" s="8" t="inlineStr">
        <is>
          <t>Gated</t>
        </is>
      </c>
    </row>
    <row r="12">
      <c r="A12" s="7" t="inlineStr">
        <is>
          <t>Banyan Woods</t>
        </is>
      </c>
      <c r="B12" s="7" t="inlineStr">
        <is>
          <t>Naples</t>
        </is>
      </c>
      <c r="C12" s="7" t="inlineStr">
        <is>
          <t>Gated</t>
        </is>
      </c>
      <c r="D12" s="7" t="inlineStr">
        <is>
          <t>Community pool, tennis, nature preserve</t>
        </is>
      </c>
      <c r="E12" s="7" t="inlineStr">
        <is>
          <t>$400K–$700K</t>
        </is>
      </c>
      <c r="F12" s="7" t="inlineStr">
        <is>
          <t>Gated</t>
        </is>
      </c>
    </row>
    <row r="13">
      <c r="A13" s="8" t="inlineStr">
        <is>
          <t>Barrington Cove</t>
        </is>
      </c>
      <c r="B13" s="8" t="inlineStr">
        <is>
          <t>Naples</t>
        </is>
      </c>
      <c r="C13" s="8" t="inlineStr">
        <is>
          <t>Gated</t>
        </is>
      </c>
      <c r="D13" s="8" t="inlineStr">
        <is>
          <t>Pool, playground, modern homes</t>
        </is>
      </c>
      <c r="E13" s="8" t="inlineStr">
        <is>
          <t>$300K–$500K</t>
        </is>
      </c>
      <c r="F13" s="8" t="inlineStr">
        <is>
          <t>Gated</t>
        </is>
      </c>
    </row>
    <row r="14">
      <c r="A14" s="7" t="inlineStr">
        <is>
          <t>Bay Colony</t>
        </is>
      </c>
      <c r="B14" s="7" t="inlineStr">
        <is>
          <t>Naples</t>
        </is>
      </c>
      <c r="C14" s="7" t="inlineStr">
        <is>
          <t>Ultra-Luxury</t>
        </is>
      </c>
      <c r="D14" s="7" t="inlineStr">
        <is>
          <t>Private beach club, Gulf-view high-rises, exclusive club</t>
        </is>
      </c>
      <c r="E14" s="7" t="inlineStr">
        <is>
          <t>$2M–$20M+</t>
        </is>
      </c>
      <c r="F14" s="7" t="inlineStr">
        <is>
          <t>Guard-gated</t>
        </is>
      </c>
    </row>
    <row r="15">
      <c r="A15" s="8" t="inlineStr">
        <is>
          <t>Bayfront</t>
        </is>
      </c>
      <c r="B15" s="8" t="inlineStr">
        <is>
          <t>Naples</t>
        </is>
      </c>
      <c r="C15" s="8" t="inlineStr">
        <is>
          <t>Condo/Gated</t>
        </is>
      </c>
      <c r="D15" s="8" t="inlineStr">
        <is>
          <t>Waterfront, pool, marina access</t>
        </is>
      </c>
      <c r="E15" s="8" t="inlineStr">
        <is>
          <t>$300K–$800K</t>
        </is>
      </c>
      <c r="F15" s="8" t="inlineStr">
        <is>
          <t>Gated</t>
        </is>
      </c>
    </row>
    <row r="16">
      <c r="A16" s="7" t="inlineStr">
        <is>
          <t>Bear's Paw</t>
        </is>
      </c>
      <c r="B16" s="7" t="inlineStr">
        <is>
          <t>Naples</t>
        </is>
      </c>
      <c r="C16" s="7" t="inlineStr">
        <is>
          <t>Golf/Gated</t>
        </is>
      </c>
      <c r="D16" s="7" t="inlineStr">
        <is>
          <t>Gulf access, championship golf, clubhouse w/ dining</t>
        </is>
      </c>
      <c r="E16" s="7" t="inlineStr">
        <is>
          <t>$400K–$1.5M</t>
        </is>
      </c>
      <c r="F16" s="7" t="inlineStr">
        <is>
          <t>Gated</t>
        </is>
      </c>
    </row>
    <row r="17">
      <c r="A17" s="8" t="inlineStr">
        <is>
          <t>Bent Creek Preserve</t>
        </is>
      </c>
      <c r="B17" s="8" t="inlineStr">
        <is>
          <t>Naples</t>
        </is>
      </c>
      <c r="C17" s="8" t="inlineStr">
        <is>
          <t>Gated</t>
        </is>
      </c>
      <c r="D17" s="8" t="inlineStr">
        <is>
          <t>Nature preserve, pool, walking trails</t>
        </is>
      </c>
      <c r="E17" s="8" t="inlineStr">
        <is>
          <t>$300K–$500K</t>
        </is>
      </c>
      <c r="F17" s="8" t="inlineStr">
        <is>
          <t>Gated</t>
        </is>
      </c>
    </row>
    <row r="18">
      <c r="A18" s="7" t="inlineStr">
        <is>
          <t>Berkshire Lakes</t>
        </is>
      </c>
      <c r="B18" s="7" t="inlineStr">
        <is>
          <t>Naples</t>
        </is>
      </c>
      <c r="C18" s="7" t="inlineStr">
        <is>
          <t>Affordable Gated</t>
        </is>
      </c>
      <c r="D18" s="7" t="inlineStr">
        <is>
          <t>Lakes, walking trails, recreational areas</t>
        </is>
      </c>
      <c r="E18" s="7" t="inlineStr">
        <is>
          <t>$250K–$500K</t>
        </is>
      </c>
      <c r="F18" s="7" t="inlineStr">
        <is>
          <t>Gated</t>
        </is>
      </c>
    </row>
    <row r="19">
      <c r="A19" s="8" t="inlineStr">
        <is>
          <t>Black Bear Ridge</t>
        </is>
      </c>
      <c r="B19" s="8" t="inlineStr">
        <is>
          <t>Naples</t>
        </is>
      </c>
      <c r="C19" s="8" t="inlineStr">
        <is>
          <t>Gated</t>
        </is>
      </c>
      <c r="D19" s="8" t="inlineStr">
        <is>
          <t>Pool, fitness, preserve views</t>
        </is>
      </c>
      <c r="E19" s="8" t="inlineStr">
        <is>
          <t>$400K–$700K</t>
        </is>
      </c>
      <c r="F19" s="8" t="inlineStr">
        <is>
          <t>Gated</t>
        </is>
      </c>
    </row>
    <row r="20">
      <c r="A20" s="7" t="inlineStr">
        <is>
          <t>Bridgewater Bay</t>
        </is>
      </c>
      <c r="B20" s="7" t="inlineStr">
        <is>
          <t>Naples</t>
        </is>
      </c>
      <c r="C20" s="7" t="inlineStr">
        <is>
          <t>Nature/Gated</t>
        </is>
      </c>
      <c r="D20" s="7" t="inlineStr">
        <is>
          <t>Tennis, bocce, pickleball, basketball, clubhouse, steam room, sauna, pool &amp; spa, lap pool</t>
        </is>
      </c>
      <c r="E20" s="7" t="inlineStr">
        <is>
          <t>$300K–$700K</t>
        </is>
      </c>
      <c r="F20" s="7" t="inlineStr">
        <is>
          <t>Gated</t>
        </is>
      </c>
    </row>
    <row r="21">
      <c r="A21" s="8" t="inlineStr">
        <is>
          <t>Bristol Pines</t>
        </is>
      </c>
      <c r="B21" s="8" t="inlineStr">
        <is>
          <t>Naples</t>
        </is>
      </c>
      <c r="C21" s="8" t="inlineStr">
        <is>
          <t>Gated</t>
        </is>
      </c>
      <c r="D21" s="8" t="inlineStr">
        <is>
          <t>Community pool, fitness, nature preserve</t>
        </is>
      </c>
      <c r="E21" s="8" t="inlineStr">
        <is>
          <t>$350K–$600K</t>
        </is>
      </c>
      <c r="F21" s="8" t="inlineStr">
        <is>
          <t>Gated</t>
        </is>
      </c>
    </row>
    <row r="22">
      <c r="A22" s="7" t="inlineStr">
        <is>
          <t>Cascades</t>
        </is>
      </c>
      <c r="B22" s="7" t="inlineStr">
        <is>
          <t>Naples</t>
        </is>
      </c>
      <c r="C22" s="7" t="inlineStr">
        <is>
          <t>Gated</t>
        </is>
      </c>
      <c r="D22" s="7" t="inlineStr">
        <is>
          <t>Pool, clubhouse, walking trails</t>
        </is>
      </c>
      <c r="E22" s="7" t="inlineStr">
        <is>
          <t>$300K–$500K</t>
        </is>
      </c>
      <c r="F22" s="7" t="inlineStr">
        <is>
          <t>Gated</t>
        </is>
      </c>
    </row>
    <row r="23">
      <c r="A23" s="8" t="inlineStr">
        <is>
          <t>Cedar Hammock</t>
        </is>
      </c>
      <c r="B23" s="8" t="inlineStr">
        <is>
          <t>Naples</t>
        </is>
      </c>
      <c r="C23" s="8" t="inlineStr">
        <is>
          <t>Golf/Gated</t>
        </is>
      </c>
      <c r="D23" s="8" t="inlineStr">
        <is>
          <t>Golf course, clubhouse, pool, tennis, fitness</t>
        </is>
      </c>
      <c r="E23" s="8" t="inlineStr">
        <is>
          <t>$140K–$800K</t>
        </is>
      </c>
      <c r="F23" s="8" t="inlineStr">
        <is>
          <t>Gated</t>
        </is>
      </c>
    </row>
    <row r="24">
      <c r="A24" s="7" t="inlineStr">
        <is>
          <t>Collier's Reserve</t>
        </is>
      </c>
      <c r="B24" s="7" t="inlineStr">
        <is>
          <t>Naples</t>
        </is>
      </c>
      <c r="C24" s="7" t="inlineStr">
        <is>
          <t>Golf/Nature</t>
        </is>
      </c>
      <c r="D24" s="7" t="inlineStr">
        <is>
          <t>Audubon sanctuary, golf course along Cocohatchee River, clubhouse</t>
        </is>
      </c>
      <c r="E24" s="7" t="inlineStr">
        <is>
          <t>$800K–$3M+</t>
        </is>
      </c>
      <c r="F24" s="7" t="inlineStr">
        <is>
          <t>Guard-gated</t>
        </is>
      </c>
    </row>
    <row r="25">
      <c r="A25" s="8" t="inlineStr">
        <is>
          <t>Compass Landing</t>
        </is>
      </c>
      <c r="B25" s="8" t="inlineStr">
        <is>
          <t>Naples</t>
        </is>
      </c>
      <c r="C25" s="8" t="inlineStr">
        <is>
          <t>Gated</t>
        </is>
      </c>
      <c r="D25" s="8" t="inlineStr">
        <is>
          <t>Pool, fitness, modern community</t>
        </is>
      </c>
      <c r="E25" s="8" t="inlineStr">
        <is>
          <t>$300K–$500K</t>
        </is>
      </c>
      <c r="F25" s="8" t="inlineStr">
        <is>
          <t>Gated</t>
        </is>
      </c>
    </row>
    <row r="26">
      <c r="A26" s="7" t="inlineStr">
        <is>
          <t>Copper Cove Preserve</t>
        </is>
      </c>
      <c r="B26" s="7" t="inlineStr">
        <is>
          <t>Naples</t>
        </is>
      </c>
      <c r="C26" s="7" t="inlineStr">
        <is>
          <t>Gated</t>
        </is>
      </c>
      <c r="D26" s="7" t="inlineStr">
        <is>
          <t>Nature preserve, pool, community center</t>
        </is>
      </c>
      <c r="E26" s="7" t="inlineStr">
        <is>
          <t>$300K–$500K</t>
        </is>
      </c>
      <c r="F26" s="7" t="inlineStr">
        <is>
          <t>Gated</t>
        </is>
      </c>
    </row>
    <row r="27">
      <c r="A27" s="8" t="inlineStr">
        <is>
          <t>Countryside Golf &amp; CC</t>
        </is>
      </c>
      <c r="B27" s="8" t="inlineStr">
        <is>
          <t>Naples</t>
        </is>
      </c>
      <c r="C27" s="8" t="inlineStr">
        <is>
          <t>Golf/Gated</t>
        </is>
      </c>
      <c r="D27" s="8" t="inlineStr">
        <is>
          <t>Golf course, tennis, clubhouse, fitness, pool</t>
        </is>
      </c>
      <c r="E27" s="8" t="inlineStr">
        <is>
          <t>$200K–$600K</t>
        </is>
      </c>
      <c r="F27" s="8" t="inlineStr">
        <is>
          <t>Gated</t>
        </is>
      </c>
    </row>
    <row r="28">
      <c r="A28" s="7" t="inlineStr">
        <is>
          <t>Cypress Woods</t>
        </is>
      </c>
      <c r="B28" s="7" t="inlineStr">
        <is>
          <t>Naples</t>
        </is>
      </c>
      <c r="C28" s="7" t="inlineStr">
        <is>
          <t>Golf/Gated</t>
        </is>
      </c>
      <c r="D28" s="7" t="inlineStr">
        <is>
          <t>Golf course, condos &amp; villas, clubhouse</t>
        </is>
      </c>
      <c r="E28" s="7" t="inlineStr">
        <is>
          <t>$200K–$500K</t>
        </is>
      </c>
      <c r="F28" s="7" t="inlineStr">
        <is>
          <t>Gated</t>
        </is>
      </c>
    </row>
    <row r="29">
      <c r="A29" s="8" t="inlineStr">
        <is>
          <t>Eagle Creek</t>
        </is>
      </c>
      <c r="B29" s="8" t="inlineStr">
        <is>
          <t>Naples</t>
        </is>
      </c>
      <c r="C29" s="8" t="inlineStr">
        <is>
          <t>Golf/Gated</t>
        </is>
      </c>
      <c r="D29" s="8" t="inlineStr">
        <is>
          <t>Golf course, tennis, clubhouse, fitness, 300+ acres of cypress/pine/palm</t>
        </is>
      </c>
      <c r="E29" s="8" t="inlineStr">
        <is>
          <t>$300K–$800K</t>
        </is>
      </c>
      <c r="F29" s="8" t="inlineStr">
        <is>
          <t>Gated</t>
        </is>
      </c>
    </row>
    <row r="30">
      <c r="A30" s="7" t="inlineStr">
        <is>
          <t>Esplanade Golf &amp; CC</t>
        </is>
      </c>
      <c r="B30" s="7" t="inlineStr">
        <is>
          <t>Naples</t>
        </is>
      </c>
      <c r="C30" s="7" t="inlineStr">
        <is>
          <t>Golf/Gated</t>
        </is>
      </c>
      <c r="D30" s="7" t="inlineStr">
        <is>
          <t>Golf, tennis, wellness, affordable luxury</t>
        </is>
      </c>
      <c r="E30" s="7" t="inlineStr">
        <is>
          <t>$300K–$800K</t>
        </is>
      </c>
      <c r="F30" s="7" t="inlineStr">
        <is>
          <t>Gated</t>
        </is>
      </c>
    </row>
    <row r="31">
      <c r="A31" s="8" t="inlineStr">
        <is>
          <t>Estates at Bay Colony</t>
        </is>
      </c>
      <c r="B31" s="8" t="inlineStr">
        <is>
          <t>Naples</t>
        </is>
      </c>
      <c r="C31" s="8" t="inlineStr">
        <is>
          <t>Ultra-Luxury</t>
        </is>
      </c>
      <c r="D31" s="8" t="inlineStr">
        <is>
          <t>Private Bay Colony amenities, estate lots</t>
        </is>
      </c>
      <c r="E31" s="8" t="inlineStr">
        <is>
          <t>$3M–$15M+</t>
        </is>
      </c>
      <c r="F31" s="8" t="inlineStr">
        <is>
          <t>Guard-gated</t>
        </is>
      </c>
    </row>
    <row r="32">
      <c r="A32" s="7" t="inlineStr">
        <is>
          <t>Estuary at Grey Oaks</t>
        </is>
      </c>
      <c r="B32" s="7" t="inlineStr">
        <is>
          <t>Naples</t>
        </is>
      </c>
      <c r="C32" s="7" t="inlineStr">
        <is>
          <t>Luxury Golf</t>
        </is>
      </c>
      <c r="D32" s="7" t="inlineStr">
        <is>
          <t>Grey Oaks amenities, waterfront estate lots</t>
        </is>
      </c>
      <c r="E32" s="7" t="inlineStr">
        <is>
          <t>$2M–$10M+</t>
        </is>
      </c>
      <c r="F32" s="7" t="inlineStr">
        <is>
          <t>Guard-gated</t>
        </is>
      </c>
    </row>
    <row r="33">
      <c r="A33" s="8" t="inlineStr">
        <is>
          <t>Falling Waters</t>
        </is>
      </c>
      <c r="B33" s="8" t="inlineStr">
        <is>
          <t>Naples</t>
        </is>
      </c>
      <c r="C33" s="8" t="inlineStr">
        <is>
          <t>Gated</t>
        </is>
      </c>
      <c r="D33" s="8" t="inlineStr">
        <is>
          <t>Waterfalls, pool, tennis, nature setting</t>
        </is>
      </c>
      <c r="E33" s="8" t="inlineStr">
        <is>
          <t>$200K–$400K</t>
        </is>
      </c>
      <c r="F33" s="8" t="inlineStr">
        <is>
          <t>Gated</t>
        </is>
      </c>
    </row>
    <row r="34">
      <c r="A34" s="7" t="inlineStr">
        <is>
          <t>Fiddler's Creek</t>
        </is>
      </c>
      <c r="B34" s="7" t="inlineStr">
        <is>
          <t>Naples</t>
        </is>
      </c>
      <c r="C34" s="7" t="inlineStr">
        <is>
          <t>Master-Planned Golf</t>
        </is>
      </c>
      <c r="D34" s="7" t="inlineStr">
        <is>
          <t>18-hole golf, 54,000 sq ft clubhouse, spa, pool, tennis, pickleball, dining, 4,000 acres</t>
        </is>
      </c>
      <c r="E34" s="7" t="inlineStr">
        <is>
          <t>$300K–$3M+</t>
        </is>
      </c>
      <c r="F34" s="7" t="inlineStr">
        <is>
          <t>Gated</t>
        </is>
      </c>
    </row>
    <row r="35">
      <c r="A35" s="8" t="inlineStr">
        <is>
          <t>Forest Glen</t>
        </is>
      </c>
      <c r="B35" s="8" t="inlineStr">
        <is>
          <t>Naples</t>
        </is>
      </c>
      <c r="C35" s="8" t="inlineStr">
        <is>
          <t>Golf/Gated</t>
        </is>
      </c>
      <c r="D35" s="8" t="inlineStr">
        <is>
          <t>Golf course, clubhouse, pool, tennis</t>
        </is>
      </c>
      <c r="E35" s="8" t="inlineStr">
        <is>
          <t>$200K–$500K</t>
        </is>
      </c>
      <c r="F35" s="8" t="inlineStr">
        <is>
          <t>Gated</t>
        </is>
      </c>
    </row>
    <row r="36">
      <c r="A36" s="7" t="inlineStr">
        <is>
          <t>Foxfire Golf &amp; CC</t>
        </is>
      </c>
      <c r="B36" s="7" t="inlineStr">
        <is>
          <t>Naples</t>
        </is>
      </c>
      <c r="C36" s="7" t="inlineStr">
        <is>
          <t>Golf/Gated</t>
        </is>
      </c>
      <c r="D36" s="7" t="inlineStr">
        <is>
          <t>Golf course, clubhouse, tennis, pool</t>
        </is>
      </c>
      <c r="E36" s="7" t="inlineStr">
        <is>
          <t>$150K–$400K</t>
        </is>
      </c>
      <c r="F36" s="7" t="inlineStr">
        <is>
          <t>Gated</t>
        </is>
      </c>
    </row>
    <row r="37">
      <c r="A37" s="8" t="inlineStr">
        <is>
          <t>Fronterra</t>
        </is>
      </c>
      <c r="B37" s="8" t="inlineStr">
        <is>
          <t>Naples</t>
        </is>
      </c>
      <c r="C37" s="8" t="inlineStr">
        <is>
          <t>Gated</t>
        </is>
      </c>
      <c r="D37" s="8" t="inlineStr">
        <is>
          <t>Pool, fitness, modern homes</t>
        </is>
      </c>
      <c r="E37" s="8" t="inlineStr">
        <is>
          <t>$300K–$500K</t>
        </is>
      </c>
      <c r="F37" s="8" t="inlineStr">
        <is>
          <t>Gated</t>
        </is>
      </c>
    </row>
    <row r="38">
      <c r="A38" s="7" t="inlineStr">
        <is>
          <t>Glen Eagle Golf &amp; CC</t>
        </is>
      </c>
      <c r="B38" s="7" t="inlineStr">
        <is>
          <t>Naples</t>
        </is>
      </c>
      <c r="C38" s="7" t="inlineStr">
        <is>
          <t>Golf/Gated</t>
        </is>
      </c>
      <c r="D38" s="7" t="inlineStr">
        <is>
          <t>Golf course, clubhouse, fitness, pool, tennis</t>
        </is>
      </c>
      <c r="E38" s="7" t="inlineStr">
        <is>
          <t>$200K–$600K</t>
        </is>
      </c>
      <c r="F38" s="7" t="inlineStr">
        <is>
          <t>Gated</t>
        </is>
      </c>
    </row>
    <row r="39">
      <c r="A39" s="8" t="inlineStr">
        <is>
          <t>Greyhawk</t>
        </is>
      </c>
      <c r="B39" s="8" t="inlineStr">
        <is>
          <t>Naples</t>
        </is>
      </c>
      <c r="C39" s="8" t="inlineStr">
        <is>
          <t>Golf/Gated</t>
        </is>
      </c>
      <c r="D39" s="8" t="inlineStr">
        <is>
          <t>Golf course, clubhouse, resort amenities</t>
        </is>
      </c>
      <c r="E39" s="8" t="inlineStr">
        <is>
          <t>$400K–$1M</t>
        </is>
      </c>
      <c r="F39" s="8" t="inlineStr">
        <is>
          <t>Gated</t>
        </is>
      </c>
    </row>
    <row r="40">
      <c r="A40" s="7" t="inlineStr">
        <is>
          <t>Grey Oaks Country Club</t>
        </is>
      </c>
      <c r="B40" s="7" t="inlineStr">
        <is>
          <t>Naples</t>
        </is>
      </c>
      <c r="C40" s="7" t="inlineStr">
        <is>
          <t>Luxury Golf</t>
        </is>
      </c>
      <c r="D40" s="7" t="inlineStr">
        <is>
          <t>3 championship golf courses, 62,000 sq ft clubhouse, dining, tennis, pickleball, pool, spa, fitness</t>
        </is>
      </c>
      <c r="E40" s="7" t="inlineStr">
        <is>
          <t>$1M–$15M+</t>
        </is>
      </c>
      <c r="F40" s="7" t="inlineStr">
        <is>
          <t>24-hr guard gate</t>
        </is>
      </c>
    </row>
    <row r="41">
      <c r="A41" s="8" t="inlineStr">
        <is>
          <t>Hacienda Lakes</t>
        </is>
      </c>
      <c r="B41" s="8" t="inlineStr">
        <is>
          <t>Naples</t>
        </is>
      </c>
      <c r="C41" s="8" t="inlineStr">
        <is>
          <t>Master-Planned</t>
        </is>
      </c>
      <c r="D41" s="8" t="inlineStr">
        <is>
          <t>Pool, fitness, trails, parks, multiple builders</t>
        </is>
      </c>
      <c r="E41" s="8" t="inlineStr">
        <is>
          <t>$300K–$1.5M</t>
        </is>
      </c>
      <c r="F41" s="8" t="inlineStr">
        <is>
          <t>Gated</t>
        </is>
      </c>
    </row>
    <row r="42">
      <c r="A42" s="7" t="inlineStr">
        <is>
          <t>Hammock Bay</t>
        </is>
      </c>
      <c r="B42" s="7" t="inlineStr">
        <is>
          <t>Naples</t>
        </is>
      </c>
      <c r="C42" s="7" t="inlineStr">
        <is>
          <t>Golf/Gated</t>
        </is>
      </c>
      <c r="D42" s="7" t="inlineStr">
        <is>
          <t>Golf course, clubhouse, waterfront, pool</t>
        </is>
      </c>
      <c r="E42" s="7" t="inlineStr">
        <is>
          <t>$300K–$800K</t>
        </is>
      </c>
      <c r="F42" s="7" t="inlineStr">
        <is>
          <t>Gated</t>
        </is>
      </c>
    </row>
    <row r="43">
      <c r="A43" s="8" t="inlineStr">
        <is>
          <t>Heritage Bay</t>
        </is>
      </c>
      <c r="B43" s="8" t="inlineStr">
        <is>
          <t>Naples</t>
        </is>
      </c>
      <c r="C43" s="8" t="inlineStr">
        <is>
          <t>Golf/Gated</t>
        </is>
      </c>
      <c r="D43" s="8" t="inlineStr">
        <is>
          <t>Golf course, clubhouse, pool, fitness</t>
        </is>
      </c>
      <c r="E43" s="8" t="inlineStr">
        <is>
          <t>$200K–$500K</t>
        </is>
      </c>
      <c r="F43" s="8" t="inlineStr">
        <is>
          <t>Gated</t>
        </is>
      </c>
    </row>
    <row r="44">
      <c r="A44" s="7" t="inlineStr">
        <is>
          <t>Hyde Park at Pelican Bay</t>
        </is>
      </c>
      <c r="B44" s="7" t="inlineStr">
        <is>
          <t>Naples</t>
        </is>
      </c>
      <c r="C44" s="7" t="inlineStr">
        <is>
          <t>Luxury</t>
        </is>
      </c>
      <c r="D44" s="7" t="inlineStr">
        <is>
          <t>Pelican Bay amenities, beach club access</t>
        </is>
      </c>
      <c r="E44" s="7" t="inlineStr">
        <is>
          <t>$500K–$2M</t>
        </is>
      </c>
      <c r="F44" s="7" t="inlineStr">
        <is>
          <t>Gated</t>
        </is>
      </c>
    </row>
    <row r="45">
      <c r="A45" s="8" t="inlineStr">
        <is>
          <t>Imperial Golf Estates</t>
        </is>
      </c>
      <c r="B45" s="8" t="inlineStr">
        <is>
          <t>Naples</t>
        </is>
      </c>
      <c r="C45" s="8" t="inlineStr">
        <is>
          <t>Golf/Gated</t>
        </is>
      </c>
      <c r="D45" s="8" t="inlineStr">
        <is>
          <t>Golf course, clubhouse, pool</t>
        </is>
      </c>
      <c r="E45" s="8" t="inlineStr">
        <is>
          <t>$300K–$800K</t>
        </is>
      </c>
      <c r="F45" s="8" t="inlineStr">
        <is>
          <t>Gated</t>
        </is>
      </c>
    </row>
    <row r="46">
      <c r="A46" s="7" t="inlineStr">
        <is>
          <t>Indigo Lakes</t>
        </is>
      </c>
      <c r="B46" s="7" t="inlineStr">
        <is>
          <t>Naples</t>
        </is>
      </c>
      <c r="C46" s="7" t="inlineStr">
        <is>
          <t>Gated</t>
        </is>
      </c>
      <c r="D46" s="7" t="inlineStr">
        <is>
          <t>Pool, fitness, lake views</t>
        </is>
      </c>
      <c r="E46" s="7" t="inlineStr">
        <is>
          <t>$300K–$500K</t>
        </is>
      </c>
      <c r="F46" s="7" t="inlineStr">
        <is>
          <t>Gated</t>
        </is>
      </c>
    </row>
    <row r="47">
      <c r="A47" s="8" t="inlineStr">
        <is>
          <t>Island Walk</t>
        </is>
      </c>
      <c r="B47" s="8" t="inlineStr">
        <is>
          <t>Naples</t>
        </is>
      </c>
      <c r="C47" s="8" t="inlineStr">
        <is>
          <t>Gated</t>
        </is>
      </c>
      <c r="D47" s="8" t="inlineStr">
        <is>
          <t>Pool, tennis, clubhouse, lake setting</t>
        </is>
      </c>
      <c r="E47" s="8" t="inlineStr">
        <is>
          <t>$300K–$700K</t>
        </is>
      </c>
      <c r="F47" s="8" t="inlineStr">
        <is>
          <t>Gated</t>
        </is>
      </c>
    </row>
    <row r="48">
      <c r="A48" s="7" t="inlineStr">
        <is>
          <t>Isles of Collier Preserve</t>
        </is>
      </c>
      <c r="B48" s="7" t="inlineStr">
        <is>
          <t>Naples</t>
        </is>
      </c>
      <c r="C48" s="7" t="inlineStr">
        <is>
          <t>Eco-Luxury</t>
        </is>
      </c>
      <c r="D48" s="7" t="inlineStr">
        <is>
          <t>Clubhouse, fitness, pool, kayak launch, trails, nature preserve, overlook pier</t>
        </is>
      </c>
      <c r="E48" s="7" t="inlineStr">
        <is>
          <t>$400K–$1.5M</t>
        </is>
      </c>
      <c r="F48" s="7" t="inlineStr">
        <is>
          <t>Gated</t>
        </is>
      </c>
    </row>
    <row r="49">
      <c r="A49" s="8" t="inlineStr">
        <is>
          <t>Kalea Bay</t>
        </is>
      </c>
      <c r="B49" s="8" t="inlineStr">
        <is>
          <t>Naples</t>
        </is>
      </c>
      <c r="C49" s="8" t="inlineStr">
        <is>
          <t>Luxury Condo/Gated</t>
        </is>
      </c>
      <c r="D49" s="8" t="inlineStr">
        <is>
          <t>Rooftop amenities, pool, fitness, waterfront tower condos</t>
        </is>
      </c>
      <c r="E49" s="8" t="inlineStr">
        <is>
          <t>$1M–$5M+</t>
        </is>
      </c>
      <c r="F49" s="8" t="inlineStr">
        <is>
          <t>Gated</t>
        </is>
      </c>
    </row>
    <row r="50">
      <c r="A50" s="7" t="inlineStr">
        <is>
          <t>Kensington Golf &amp; CC</t>
        </is>
      </c>
      <c r="B50" s="7" t="inlineStr">
        <is>
          <t>Naples</t>
        </is>
      </c>
      <c r="C50" s="7" t="inlineStr">
        <is>
          <t>Golf/Gated</t>
        </is>
      </c>
      <c r="D50" s="7" t="inlineStr">
        <is>
          <t>Golf course, clubhouse, tennis, pool, fitness</t>
        </is>
      </c>
      <c r="E50" s="7" t="inlineStr">
        <is>
          <t>$400K–$1.5M</t>
        </is>
      </c>
      <c r="F50" s="7" t="inlineStr">
        <is>
          <t>Guard-gated</t>
        </is>
      </c>
    </row>
    <row r="51">
      <c r="A51" s="8" t="inlineStr">
        <is>
          <t>Lantana at Olde Cypress</t>
        </is>
      </c>
      <c r="B51" s="8" t="inlineStr">
        <is>
          <t>Naples</t>
        </is>
      </c>
      <c r="C51" s="8" t="inlineStr">
        <is>
          <t>Golf/Gated</t>
        </is>
      </c>
      <c r="D51" s="8" t="inlineStr">
        <is>
          <t>Olde Cypress golf course access, pool, clubhouse</t>
        </is>
      </c>
      <c r="E51" s="8" t="inlineStr">
        <is>
          <t>$400K–$800K</t>
        </is>
      </c>
      <c r="F51" s="8" t="inlineStr">
        <is>
          <t>Gated</t>
        </is>
      </c>
    </row>
    <row r="52">
      <c r="A52" s="7" t="inlineStr">
        <is>
          <t>Lely Resort</t>
        </is>
      </c>
      <c r="B52" s="7" t="inlineStr">
        <is>
          <t>Naples</t>
        </is>
      </c>
      <c r="C52" s="7" t="inlineStr">
        <is>
          <t>Golf/Resort</t>
        </is>
      </c>
      <c r="D52" s="7" t="inlineStr">
        <is>
          <t>3 golf courses, Players Club &amp; Spa, multiple pools, tennis, fitness, dining</t>
        </is>
      </c>
      <c r="E52" s="7" t="inlineStr">
        <is>
          <t>$200K–$2M</t>
        </is>
      </c>
      <c r="F52" s="7" t="inlineStr">
        <is>
          <t>Gated</t>
        </is>
      </c>
    </row>
    <row r="53">
      <c r="A53" s="8" t="inlineStr">
        <is>
          <t>Livingston Lakes</t>
        </is>
      </c>
      <c r="B53" s="8" t="inlineStr">
        <is>
          <t>Naples</t>
        </is>
      </c>
      <c r="C53" s="8" t="inlineStr">
        <is>
          <t>Gated</t>
        </is>
      </c>
      <c r="D53" s="8" t="inlineStr">
        <is>
          <t>Pool, fitness, lakefront setting</t>
        </is>
      </c>
      <c r="E53" s="8" t="inlineStr">
        <is>
          <t>$300K–$500K</t>
        </is>
      </c>
      <c r="F53" s="8" t="inlineStr">
        <is>
          <t>Gated</t>
        </is>
      </c>
    </row>
    <row r="54">
      <c r="A54" s="7" t="inlineStr">
        <is>
          <t>Longshore Lake</t>
        </is>
      </c>
      <c r="B54" s="7" t="inlineStr">
        <is>
          <t>Naples</t>
        </is>
      </c>
      <c r="C54" s="7" t="inlineStr">
        <is>
          <t>Gated/Waterfront</t>
        </is>
      </c>
      <c r="D54" s="7" t="inlineStr">
        <is>
          <t>Lake, boating, fishing, clubhouse, pool, tennis</t>
        </is>
      </c>
      <c r="E54" s="7" t="inlineStr">
        <is>
          <t>$400K–$1.2M</t>
        </is>
      </c>
      <c r="F54" s="7" t="inlineStr">
        <is>
          <t>Gated</t>
        </is>
      </c>
    </row>
    <row r="55">
      <c r="A55" s="8" t="inlineStr">
        <is>
          <t>Mandalay Place</t>
        </is>
      </c>
      <c r="B55" s="8" t="inlineStr">
        <is>
          <t>Naples</t>
        </is>
      </c>
      <c r="C55" s="8" t="inlineStr">
        <is>
          <t>Gated</t>
        </is>
      </c>
      <c r="D55" s="8" t="inlineStr">
        <is>
          <t>Pool, fitness, modern homes</t>
        </is>
      </c>
      <c r="E55" s="8" t="inlineStr">
        <is>
          <t>$300K–$500K</t>
        </is>
      </c>
      <c r="F55" s="8" t="inlineStr">
        <is>
          <t>Gated</t>
        </is>
      </c>
    </row>
    <row r="56">
      <c r="A56" s="7" t="inlineStr">
        <is>
          <t>Marbella Isles</t>
        </is>
      </c>
      <c r="B56" s="7" t="inlineStr">
        <is>
          <t>Naples</t>
        </is>
      </c>
      <c r="C56" s="7" t="inlineStr">
        <is>
          <t>Gated</t>
        </is>
      </c>
      <c r="D56" s="7" t="inlineStr">
        <is>
          <t>Pool, fitness, lake views</t>
        </is>
      </c>
      <c r="E56" s="7" t="inlineStr">
        <is>
          <t>$400K–$700K</t>
        </is>
      </c>
      <c r="F56" s="7" t="inlineStr">
        <is>
          <t>Gated</t>
        </is>
      </c>
    </row>
    <row r="57">
      <c r="A57" s="8" t="inlineStr">
        <is>
          <t>Marsilea</t>
        </is>
      </c>
      <c r="B57" s="8" t="inlineStr">
        <is>
          <t>Naples</t>
        </is>
      </c>
      <c r="C57" s="8" t="inlineStr">
        <is>
          <t>Gated</t>
        </is>
      </c>
      <c r="D57" s="8" t="inlineStr">
        <is>
          <t>Pool, fitness, contemporary design</t>
        </is>
      </c>
      <c r="E57" s="8" t="inlineStr">
        <is>
          <t>$400K–$700K</t>
        </is>
      </c>
      <c r="F57" s="8" t="inlineStr">
        <is>
          <t>Gated</t>
        </is>
      </c>
    </row>
    <row r="58">
      <c r="A58" s="7" t="inlineStr">
        <is>
          <t>Mediterra</t>
        </is>
      </c>
      <c r="B58" s="7" t="inlineStr">
        <is>
          <t>Naples</t>
        </is>
      </c>
      <c r="C58" s="7" t="inlineStr">
        <is>
          <t>Luxury Golf</t>
        </is>
      </c>
      <c r="D58" s="7" t="inlineStr">
        <is>
          <t>2 Tom Fazio golf courses, private beach club, pool, dining, fitness, spa, 8 mi trails, tennis</t>
        </is>
      </c>
      <c r="E58" s="7" t="inlineStr">
        <is>
          <t>$800K–$7M+</t>
        </is>
      </c>
      <c r="F58" s="7" t="inlineStr">
        <is>
          <t>Guard-gated</t>
        </is>
      </c>
    </row>
    <row r="59">
      <c r="A59" s="8" t="inlineStr">
        <is>
          <t>Miralia</t>
        </is>
      </c>
      <c r="B59" s="8" t="inlineStr">
        <is>
          <t>Naples</t>
        </is>
      </c>
      <c r="C59" s="8" t="inlineStr">
        <is>
          <t>Gated</t>
        </is>
      </c>
      <c r="D59" s="8" t="inlineStr">
        <is>
          <t>Pool, fitness, newer community</t>
        </is>
      </c>
      <c r="E59" s="8" t="inlineStr">
        <is>
          <t>$400K–$700K</t>
        </is>
      </c>
      <c r="F59" s="8" t="inlineStr">
        <is>
          <t>Gated</t>
        </is>
      </c>
    </row>
    <row r="60">
      <c r="A60" s="7" t="inlineStr">
        <is>
          <t>Montebello at Coco Lakes</t>
        </is>
      </c>
      <c r="B60" s="7" t="inlineStr">
        <is>
          <t>Naples</t>
        </is>
      </c>
      <c r="C60" s="7" t="inlineStr">
        <is>
          <t>Gated</t>
        </is>
      </c>
      <c r="D60" s="7" t="inlineStr">
        <is>
          <t>Pool, fitness, lake setting</t>
        </is>
      </c>
      <c r="E60" s="7" t="inlineStr">
        <is>
          <t>$300K–$500K</t>
        </is>
      </c>
      <c r="F60" s="7" t="inlineStr">
        <is>
          <t>Gated</t>
        </is>
      </c>
    </row>
    <row r="61">
      <c r="A61" s="8" t="inlineStr">
        <is>
          <t>Moon Lake</t>
        </is>
      </c>
      <c r="B61" s="8" t="inlineStr">
        <is>
          <t>Naples</t>
        </is>
      </c>
      <c r="C61" s="8" t="inlineStr">
        <is>
          <t>Gated</t>
        </is>
      </c>
      <c r="D61" s="8" t="inlineStr">
        <is>
          <t>Lakefront, pool, community amenities</t>
        </is>
      </c>
      <c r="E61" s="8" t="inlineStr">
        <is>
          <t>$300K–$500K</t>
        </is>
      </c>
      <c r="F61" s="8" t="inlineStr">
        <is>
          <t>Gated</t>
        </is>
      </c>
    </row>
    <row r="62">
      <c r="A62" s="7" t="inlineStr">
        <is>
          <t>Mystique at Pelican Bay</t>
        </is>
      </c>
      <c r="B62" s="7" t="inlineStr">
        <is>
          <t>Naples</t>
        </is>
      </c>
      <c r="C62" s="7" t="inlineStr">
        <is>
          <t>Luxury Condo</t>
        </is>
      </c>
      <c r="D62" s="7" t="inlineStr">
        <is>
          <t>Pelican Bay beach clubs, tower condos, Gulf views</t>
        </is>
      </c>
      <c r="E62" s="7" t="inlineStr">
        <is>
          <t>$2M–$8M+</t>
        </is>
      </c>
      <c r="F62" s="7" t="inlineStr">
        <is>
          <t>Gated</t>
        </is>
      </c>
    </row>
    <row r="63">
      <c r="A63" s="8" t="inlineStr">
        <is>
          <t>Naples Bay Resort &amp; Marina</t>
        </is>
      </c>
      <c r="B63" s="8" t="inlineStr">
        <is>
          <t>Naples</t>
        </is>
      </c>
      <c r="C63" s="8" t="inlineStr">
        <is>
          <t>Resort/Gated</t>
        </is>
      </c>
      <c r="D63" s="8" t="inlineStr">
        <is>
          <t>Marina, pool, spa, fitness, hotel services, waterfront dining</t>
        </is>
      </c>
      <c r="E63" s="8" t="inlineStr">
        <is>
          <t>$300K–$2M</t>
        </is>
      </c>
      <c r="F63" s="8" t="inlineStr">
        <is>
          <t>Gated</t>
        </is>
      </c>
    </row>
    <row r="64">
      <c r="A64" s="7" t="inlineStr">
        <is>
          <t>Naples Heritage</t>
        </is>
      </c>
      <c r="B64" s="7" t="inlineStr">
        <is>
          <t>Naples</t>
        </is>
      </c>
      <c r="C64" s="7" t="inlineStr">
        <is>
          <t>Golf/Gated</t>
        </is>
      </c>
      <c r="D64" s="7" t="inlineStr">
        <is>
          <t>Golf course, clubhouse, pool, tennis</t>
        </is>
      </c>
      <c r="E64" s="7" t="inlineStr">
        <is>
          <t>$200K–$500K</t>
        </is>
      </c>
      <c r="F64" s="7" t="inlineStr">
        <is>
          <t>Gated</t>
        </is>
      </c>
    </row>
    <row r="65">
      <c r="A65" s="8" t="inlineStr">
        <is>
          <t>Naples Lakes CC</t>
        </is>
      </c>
      <c r="B65" s="8" t="inlineStr">
        <is>
          <t>Naples</t>
        </is>
      </c>
      <c r="C65" s="8" t="inlineStr">
        <is>
          <t>Golf/Gated</t>
        </is>
      </c>
      <c r="D65" s="8" t="inlineStr">
        <is>
          <t>Golf course (Arnold Palmer), clubhouse, pool, fitness</t>
        </is>
      </c>
      <c r="E65" s="8" t="inlineStr">
        <is>
          <t>$200K–$600K</t>
        </is>
      </c>
      <c r="F65" s="8" t="inlineStr">
        <is>
          <t>Gated</t>
        </is>
      </c>
    </row>
    <row r="66">
      <c r="A66" s="7" t="inlineStr">
        <is>
          <t>Naples Reserve</t>
        </is>
      </c>
      <c r="B66" s="7" t="inlineStr">
        <is>
          <t>Naples</t>
        </is>
      </c>
      <c r="C66" s="7" t="inlineStr">
        <is>
          <t>Waterfront</t>
        </is>
      </c>
      <c r="D66" s="7" t="inlineStr">
        <is>
          <t>Private Eagle Lake beach, lagoon pool, hot tub, Gator Grille, fitness, kayaking, trails</t>
        </is>
      </c>
      <c r="E66" s="7" t="inlineStr">
        <is>
          <t>$300K–$1.5M</t>
        </is>
      </c>
      <c r="F66" s="7" t="inlineStr">
        <is>
          <t>Gated</t>
        </is>
      </c>
    </row>
    <row r="67">
      <c r="A67" s="8" t="inlineStr">
        <is>
          <t>National Golf &amp; CC</t>
        </is>
      </c>
      <c r="B67" s="8" t="inlineStr">
        <is>
          <t>Ave Maria</t>
        </is>
      </c>
      <c r="C67" s="8" t="inlineStr">
        <is>
          <t>Golf/Gated</t>
        </is>
      </c>
      <c r="D67" s="8" t="inlineStr">
        <is>
          <t>Golf course, clubhouse, pool, fitness, family amenities</t>
        </is>
      </c>
      <c r="E67" s="8" t="inlineStr">
        <is>
          <t>$240K–$800K</t>
        </is>
      </c>
      <c r="F67" s="8" t="inlineStr">
        <is>
          <t>Gated</t>
        </is>
      </c>
    </row>
    <row r="68">
      <c r="A68" s="7" t="inlineStr">
        <is>
          <t>Olde Cypress</t>
        </is>
      </c>
      <c r="B68" s="7" t="inlineStr">
        <is>
          <t>Naples</t>
        </is>
      </c>
      <c r="C68" s="7" t="inlineStr">
        <is>
          <t>Golf/Gated</t>
        </is>
      </c>
      <c r="D68" s="7" t="inlineStr">
        <is>
          <t>Golf course (P.B. Dye), clubhouse, pool, tennis, fitness</t>
        </is>
      </c>
      <c r="E68" s="7" t="inlineStr">
        <is>
          <t>$500K–$2M</t>
        </is>
      </c>
      <c r="F68" s="7" t="inlineStr">
        <is>
          <t>Guard-gated</t>
        </is>
      </c>
    </row>
    <row r="69">
      <c r="A69" s="8" t="inlineStr">
        <is>
          <t>Panther Run (Ave Maria)</t>
        </is>
      </c>
      <c r="B69" s="8" t="inlineStr">
        <is>
          <t>Ave Maria</t>
        </is>
      </c>
      <c r="C69" s="8" t="inlineStr">
        <is>
          <t>Golf/Gated</t>
        </is>
      </c>
      <c r="D69" s="8" t="inlineStr">
        <is>
          <t>Golf course, clubhouse amenities</t>
        </is>
      </c>
      <c r="E69" s="8" t="inlineStr">
        <is>
          <t>$300K–$600K</t>
        </is>
      </c>
      <c r="F69" s="8" t="inlineStr">
        <is>
          <t>Gated</t>
        </is>
      </c>
    </row>
    <row r="70">
      <c r="A70" s="7" t="inlineStr">
        <is>
          <t>Pelican Bay</t>
        </is>
      </c>
      <c r="B70" s="7" t="inlineStr">
        <is>
          <t>Naples</t>
        </is>
      </c>
      <c r="C70" s="7" t="inlineStr">
        <is>
          <t>Master-Planned</t>
        </is>
      </c>
      <c r="D70" s="7" t="inlineStr">
        <is>
          <t>2 private beach clubs, tram to beach, community center, fitness, tennis, trails, Artis-Naples access</t>
        </is>
      </c>
      <c r="E70" s="7" t="inlineStr">
        <is>
          <t>$300K–$10M+</t>
        </is>
      </c>
      <c r="F70" s="7" t="inlineStr">
        <is>
          <t>Controlled access</t>
        </is>
      </c>
    </row>
    <row r="71">
      <c r="A71" s="8" t="inlineStr">
        <is>
          <t>Pelican Marsh</t>
        </is>
      </c>
      <c r="B71" s="8" t="inlineStr">
        <is>
          <t>Naples</t>
        </is>
      </c>
      <c r="C71" s="8" t="inlineStr">
        <is>
          <t>Golf/Gated</t>
        </is>
      </c>
      <c r="D71" s="8" t="inlineStr">
        <is>
          <t>Golf course, clubhouse, fitness, pool, tennis, nature preserve</t>
        </is>
      </c>
      <c r="E71" s="8" t="inlineStr">
        <is>
          <t>$400K–$3M</t>
        </is>
      </c>
      <c r="F71" s="8" t="inlineStr">
        <is>
          <t>Guard-gated</t>
        </is>
      </c>
    </row>
    <row r="72">
      <c r="A72" s="7" t="inlineStr">
        <is>
          <t>Port Royal</t>
        </is>
      </c>
      <c r="B72" s="7" t="inlineStr">
        <is>
          <t>Naples</t>
        </is>
      </c>
      <c r="C72" s="7" t="inlineStr">
        <is>
          <t>Ultra-Luxury</t>
        </is>
      </c>
      <c r="D72" s="7" t="inlineStr">
        <is>
          <t>Port Royal Club, beach club, dining, tennis, yacht docks, direct Gulf access</t>
        </is>
      </c>
      <c r="E72" s="7" t="inlineStr">
        <is>
          <t>$5M–$60M+</t>
        </is>
      </c>
      <c r="F72" s="7" t="inlineStr">
        <is>
          <t>Guard-gated</t>
        </is>
      </c>
    </row>
    <row r="73">
      <c r="A73" s="8" t="inlineStr">
        <is>
          <t>Quail Creek</t>
        </is>
      </c>
      <c r="B73" s="8" t="inlineStr">
        <is>
          <t>Naples</t>
        </is>
      </c>
      <c r="C73" s="8" t="inlineStr">
        <is>
          <t>Golf/Gated</t>
        </is>
      </c>
      <c r="D73" s="8" t="inlineStr">
        <is>
          <t>Golf course, clubhouse, pool, tennis, fitness</t>
        </is>
      </c>
      <c r="E73" s="8" t="inlineStr">
        <is>
          <t>$500K–$3M</t>
        </is>
      </c>
      <c r="F73" s="8" t="inlineStr">
        <is>
          <t>Guard-gated</t>
        </is>
      </c>
    </row>
    <row r="74">
      <c r="A74" s="7" t="inlineStr">
        <is>
          <t>Quail West</t>
        </is>
      </c>
      <c r="B74" s="7" t="inlineStr">
        <is>
          <t>Naples</t>
        </is>
      </c>
      <c r="C74" s="7" t="inlineStr">
        <is>
          <t>Luxury Estate</t>
        </is>
      </c>
      <c r="D74" s="7" t="inlineStr">
        <is>
          <t>2 Arthur Hills golf courses, 70,000 sq ft clubhouse, spa, fitness, pool, estates 4,000-10,000+ sq ft</t>
        </is>
      </c>
      <c r="E74" s="7" t="inlineStr">
        <is>
          <t>$800K–$8M+</t>
        </is>
      </c>
      <c r="F74" s="7" t="inlineStr">
        <is>
          <t>Guard-gated</t>
        </is>
      </c>
    </row>
    <row r="75">
      <c r="A75" s="8" t="inlineStr">
        <is>
          <t>Raffia Preserve</t>
        </is>
      </c>
      <c r="B75" s="8" t="inlineStr">
        <is>
          <t>Naples</t>
        </is>
      </c>
      <c r="C75" s="8" t="inlineStr">
        <is>
          <t>Gated</t>
        </is>
      </c>
      <c r="D75" s="8" t="inlineStr">
        <is>
          <t>Pool, fitness, nature preserve</t>
        </is>
      </c>
      <c r="E75" s="8" t="inlineStr">
        <is>
          <t>$300K–$500K</t>
        </is>
      </c>
      <c r="F75" s="8" t="inlineStr">
        <is>
          <t>Gated</t>
        </is>
      </c>
    </row>
    <row r="76">
      <c r="A76" s="7" t="inlineStr">
        <is>
          <t>Reflection Lakes</t>
        </is>
      </c>
      <c r="B76" s="7" t="inlineStr">
        <is>
          <t>Naples</t>
        </is>
      </c>
      <c r="C76" s="7" t="inlineStr">
        <is>
          <t>Affordable Gated</t>
        </is>
      </c>
      <c r="D76" s="7" t="inlineStr">
        <is>
          <t>Pool, resort-like feel, affordable homes &amp; townhouses</t>
        </is>
      </c>
      <c r="E76" s="7" t="inlineStr">
        <is>
          <t>$250K–$450K</t>
        </is>
      </c>
      <c r="F76" s="7" t="inlineStr">
        <is>
          <t>Gated</t>
        </is>
      </c>
    </row>
    <row r="77">
      <c r="A77" s="8" t="inlineStr">
        <is>
          <t>Regatta</t>
        </is>
      </c>
      <c r="B77" s="8" t="inlineStr">
        <is>
          <t>Naples</t>
        </is>
      </c>
      <c r="C77" s="8" t="inlineStr">
        <is>
          <t>Gated/Waterfront</t>
        </is>
      </c>
      <c r="D77" s="8" t="inlineStr">
        <is>
          <t>Pool, waterfront setting, fitness</t>
        </is>
      </c>
      <c r="E77" s="8" t="inlineStr">
        <is>
          <t>$300K–$600K</t>
        </is>
      </c>
      <c r="F77" s="8" t="inlineStr">
        <is>
          <t>Gated</t>
        </is>
      </c>
    </row>
    <row r="78">
      <c r="A78" s="7" t="inlineStr">
        <is>
          <t>Riverstone</t>
        </is>
      </c>
      <c r="B78" s="7" t="inlineStr">
        <is>
          <t>Naples</t>
        </is>
      </c>
      <c r="C78" s="7" t="inlineStr">
        <is>
          <t>Family Gated</t>
        </is>
      </c>
      <c r="D78" s="7" t="inlineStr">
        <is>
          <t>Parks, playgrounds, pool, fitness, family-friendly</t>
        </is>
      </c>
      <c r="E78" s="7" t="inlineStr">
        <is>
          <t>$400K–$800K</t>
        </is>
      </c>
      <c r="F78" s="7" t="inlineStr">
        <is>
          <t>Gated</t>
        </is>
      </c>
    </row>
    <row r="79">
      <c r="A79" s="8" t="inlineStr">
        <is>
          <t>Royal Wood</t>
        </is>
      </c>
      <c r="B79" s="8" t="inlineStr">
        <is>
          <t>Naples</t>
        </is>
      </c>
      <c r="C79" s="8" t="inlineStr">
        <is>
          <t>Golf/Gated</t>
        </is>
      </c>
      <c r="D79" s="8" t="inlineStr">
        <is>
          <t>Golf course, clubhouse, pool</t>
        </is>
      </c>
      <c r="E79" s="8" t="inlineStr">
        <is>
          <t>$150K–$400K</t>
        </is>
      </c>
      <c r="F79" s="8" t="inlineStr">
        <is>
          <t>Gated</t>
        </is>
      </c>
    </row>
    <row r="80">
      <c r="A80" s="7" t="inlineStr">
        <is>
          <t>Saturnia Lakes</t>
        </is>
      </c>
      <c r="B80" s="7" t="inlineStr">
        <is>
          <t>Naples</t>
        </is>
      </c>
      <c r="C80" s="7" t="inlineStr">
        <is>
          <t>Family Gated</t>
        </is>
      </c>
      <c r="D80" s="7" t="inlineStr">
        <is>
          <t>Clubhouse, fitness, game room, studio, 3 pools, hot tub, cabanas, basketball/tennis/bocce</t>
        </is>
      </c>
      <c r="E80" s="7" t="inlineStr">
        <is>
          <t>$400K–$800K</t>
        </is>
      </c>
      <c r="F80" s="7" t="inlineStr">
        <is>
          <t>Security gate</t>
        </is>
      </c>
    </row>
    <row r="81">
      <c r="A81" s="8" t="inlineStr">
        <is>
          <t>SkySail</t>
        </is>
      </c>
      <c r="B81" s="8" t="inlineStr">
        <is>
          <t>Naples</t>
        </is>
      </c>
      <c r="C81" s="8" t="inlineStr">
        <is>
          <t>New Gated</t>
        </is>
      </c>
      <c r="D81" s="8" t="inlineStr">
        <is>
          <t>Community center, pool, fitness, sport-courts, fishing, kayaking, trails, pet parks</t>
        </is>
      </c>
      <c r="E81" s="8" t="inlineStr">
        <is>
          <t>$300K–$600K</t>
        </is>
      </c>
      <c r="F81" s="8" t="inlineStr">
        <is>
          <t>Gated</t>
        </is>
      </c>
    </row>
    <row r="82">
      <c r="A82" s="7" t="inlineStr">
        <is>
          <t>StoneCreek</t>
        </is>
      </c>
      <c r="B82" s="7" t="inlineStr">
        <is>
          <t>Naples</t>
        </is>
      </c>
      <c r="C82" s="7" t="inlineStr">
        <is>
          <t>Gated</t>
        </is>
      </c>
      <c r="D82" s="7" t="inlineStr">
        <is>
          <t>Pool, fitness, community center</t>
        </is>
      </c>
      <c r="E82" s="7" t="inlineStr">
        <is>
          <t>$300K–$500K</t>
        </is>
      </c>
      <c r="F82" s="7" t="inlineStr">
        <is>
          <t>Gated</t>
        </is>
      </c>
    </row>
    <row r="83">
      <c r="A83" s="8" t="inlineStr">
        <is>
          <t>Stonebridge CC</t>
        </is>
      </c>
      <c r="B83" s="8" t="inlineStr">
        <is>
          <t>Naples</t>
        </is>
      </c>
      <c r="C83" s="8" t="inlineStr">
        <is>
          <t>Golf/Gated</t>
        </is>
      </c>
      <c r="D83" s="8" t="inlineStr">
        <is>
          <t>Golf course, clubhouse, pool, tennis</t>
        </is>
      </c>
      <c r="E83" s="8" t="inlineStr">
        <is>
          <t>$300K–$700K</t>
        </is>
      </c>
      <c r="F83" s="8" t="inlineStr">
        <is>
          <t>Gated</t>
        </is>
      </c>
    </row>
    <row r="84">
      <c r="A84" s="7" t="inlineStr">
        <is>
          <t>Strada at Mercato</t>
        </is>
      </c>
      <c r="B84" s="7" t="inlineStr">
        <is>
          <t>Naples</t>
        </is>
      </c>
      <c r="C84" s="7" t="inlineStr">
        <is>
          <t>Urban Gated</t>
        </is>
      </c>
      <c r="D84" s="7" t="inlineStr">
        <is>
          <t>Urban luxury, walkable to Mercato shops/dining</t>
        </is>
      </c>
      <c r="E84" s="7" t="inlineStr">
        <is>
          <t>$500K–$1.5M</t>
        </is>
      </c>
      <c r="F84" s="7" t="inlineStr">
        <is>
          <t>Gated</t>
        </is>
      </c>
    </row>
    <row r="85">
      <c r="A85" s="8" t="inlineStr">
        <is>
          <t>Talis Park</t>
        </is>
      </c>
      <c r="B85" s="8" t="inlineStr">
        <is>
          <t>Naples</t>
        </is>
      </c>
      <c r="C85" s="8" t="inlineStr">
        <is>
          <t>Luxury Golf</t>
        </is>
      </c>
      <c r="D85" s="8" t="inlineStr">
        <is>
          <t>Championship golf, fitness &amp; wellness center, waterfront club, tiki bar, boating, spa, pool</t>
        </is>
      </c>
      <c r="E85" s="8" t="inlineStr">
        <is>
          <t>$700K–$5M+</t>
        </is>
      </c>
      <c r="F85" s="8" t="inlineStr">
        <is>
          <t>Guard-gated</t>
        </is>
      </c>
    </row>
    <row r="86">
      <c r="A86" s="7" t="inlineStr">
        <is>
          <t>The Quarry</t>
        </is>
      </c>
      <c r="B86" s="7" t="inlineStr">
        <is>
          <t>Naples</t>
        </is>
      </c>
      <c r="C86" s="7" t="inlineStr">
        <is>
          <t>Golf/Lake</t>
        </is>
      </c>
      <c r="D86" s="7" t="inlineStr">
        <is>
          <t>Golf course, 14 lakes, water park, kayaking, clubhouse, fitness</t>
        </is>
      </c>
      <c r="E86" s="7" t="inlineStr">
        <is>
          <t>$300K–$1.5M</t>
        </is>
      </c>
      <c r="F86" s="7" t="inlineStr">
        <is>
          <t>Gated</t>
        </is>
      </c>
    </row>
    <row r="87">
      <c r="A87" s="8" t="inlineStr">
        <is>
          <t>The Strand</t>
        </is>
      </c>
      <c r="B87" s="8" t="inlineStr">
        <is>
          <t>Naples</t>
        </is>
      </c>
      <c r="C87" s="8" t="inlineStr">
        <is>
          <t>Golf/Gated</t>
        </is>
      </c>
      <c r="D87" s="8" t="inlineStr">
        <is>
          <t>Golf course, clubhouse, pool, tennis, fitness</t>
        </is>
      </c>
      <c r="E87" s="8" t="inlineStr">
        <is>
          <t>$400K–$2M</t>
        </is>
      </c>
      <c r="F87" s="8" t="inlineStr">
        <is>
          <t>Guard-gated</t>
        </is>
      </c>
    </row>
    <row r="88">
      <c r="A88" s="7" t="inlineStr">
        <is>
          <t>Tiburón</t>
        </is>
      </c>
      <c r="B88" s="7" t="inlineStr">
        <is>
          <t>Naples</t>
        </is>
      </c>
      <c r="C88" s="7" t="inlineStr">
        <is>
          <t>Resort/Golf</t>
        </is>
      </c>
      <c r="D88" s="7" t="inlineStr">
        <is>
          <t>2 Greg Norman golf courses, 27,000 sq ft clubhouse, Ritz-Carlton on-site, spa, tennis, dining</t>
        </is>
      </c>
      <c r="E88" s="7" t="inlineStr">
        <is>
          <t>$500K–$5M+</t>
        </is>
      </c>
      <c r="F88" s="7" t="inlineStr">
        <is>
          <t>Gated</t>
        </is>
      </c>
    </row>
    <row r="89">
      <c r="A89" s="8" t="inlineStr">
        <is>
          <t>Treviso Bay</t>
        </is>
      </c>
      <c r="B89" s="8" t="inlineStr">
        <is>
          <t>Naples</t>
        </is>
      </c>
      <c r="C89" s="8" t="inlineStr">
        <is>
          <t>Golf/Gated</t>
        </is>
      </c>
      <c r="D89" s="8" t="inlineStr">
        <is>
          <t>TPC golf course, clubhouse, pool, fitness, resort amenities</t>
        </is>
      </c>
      <c r="E89" s="8" t="inlineStr">
        <is>
          <t>$400K–$3M</t>
        </is>
      </c>
      <c r="F89" s="8" t="inlineStr">
        <is>
          <t>Gated</t>
        </is>
      </c>
    </row>
    <row r="90">
      <c r="A90" s="7" t="inlineStr">
        <is>
          <t>Tuscany Point</t>
        </is>
      </c>
      <c r="B90" s="7" t="inlineStr">
        <is>
          <t>Naples</t>
        </is>
      </c>
      <c r="C90" s="7" t="inlineStr">
        <is>
          <t>Gated</t>
        </is>
      </c>
      <c r="D90" s="7" t="inlineStr">
        <is>
          <t>Pool, community amenities</t>
        </is>
      </c>
      <c r="E90" s="7" t="inlineStr">
        <is>
          <t>$250K–$450K</t>
        </is>
      </c>
      <c r="F90" s="7" t="inlineStr">
        <is>
          <t>Gated</t>
        </is>
      </c>
    </row>
    <row r="91">
      <c r="A91" s="8" t="inlineStr">
        <is>
          <t>Twin Eagles</t>
        </is>
      </c>
      <c r="B91" s="8" t="inlineStr">
        <is>
          <t>Naples</t>
        </is>
      </c>
      <c r="C91" s="8" t="inlineStr">
        <is>
          <t>Golf/Gated</t>
        </is>
      </c>
      <c r="D91" s="8" t="inlineStr">
        <is>
          <t>2 golf courses, clubhouse, pool, tennis, fitness, dining</t>
        </is>
      </c>
      <c r="E91" s="8" t="inlineStr">
        <is>
          <t>$400K–$2M</t>
        </is>
      </c>
      <c r="F91" s="8" t="inlineStr">
        <is>
          <t>Guard-gated</t>
        </is>
      </c>
    </row>
    <row r="92">
      <c r="A92" s="7" t="inlineStr">
        <is>
          <t>Valencia Golf &amp; CC</t>
        </is>
      </c>
      <c r="B92" s="7" t="inlineStr">
        <is>
          <t>Naples</t>
        </is>
      </c>
      <c r="C92" s="7" t="inlineStr">
        <is>
          <t>Golf/Gated</t>
        </is>
      </c>
      <c r="D92" s="7" t="inlineStr">
        <is>
          <t>Golf course, clubhouse, pool, fitness, tennis</t>
        </is>
      </c>
      <c r="E92" s="7" t="inlineStr">
        <is>
          <t>$300K–$800K</t>
        </is>
      </c>
      <c r="F92" s="7" t="inlineStr">
        <is>
          <t>Gated</t>
        </is>
      </c>
    </row>
    <row r="93">
      <c r="A93" s="8" t="inlineStr">
        <is>
          <t>Vanderbilt CC</t>
        </is>
      </c>
      <c r="B93" s="8" t="inlineStr">
        <is>
          <t>Naples</t>
        </is>
      </c>
      <c r="C93" s="8" t="inlineStr">
        <is>
          <t>Golf/Gated</t>
        </is>
      </c>
      <c r="D93" s="8" t="inlineStr">
        <is>
          <t>Golf course, clubhouse, pool, tennis, fitness</t>
        </is>
      </c>
      <c r="E93" s="8" t="inlineStr">
        <is>
          <t>$300K–$800K</t>
        </is>
      </c>
      <c r="F93" s="8" t="inlineStr">
        <is>
          <t>Gated</t>
        </is>
      </c>
    </row>
    <row r="94">
      <c r="A94" s="7" t="inlineStr">
        <is>
          <t>Verona Walk</t>
        </is>
      </c>
      <c r="B94" s="7" t="inlineStr">
        <is>
          <t>Naples</t>
        </is>
      </c>
      <c r="C94" s="7" t="inlineStr">
        <is>
          <t>Gated</t>
        </is>
      </c>
      <c r="D94" s="7" t="inlineStr">
        <is>
          <t>Pool, clubhouse, walking trails, town center feel</t>
        </is>
      </c>
      <c r="E94" s="7" t="inlineStr">
        <is>
          <t>$300K–$600K</t>
        </is>
      </c>
      <c r="F94" s="7" t="inlineStr">
        <is>
          <t>Gated</t>
        </is>
      </c>
    </row>
    <row r="95">
      <c r="A95" s="8" t="inlineStr">
        <is>
          <t>Village Walk</t>
        </is>
      </c>
      <c r="B95" s="8" t="inlineStr">
        <is>
          <t>Naples (North)</t>
        </is>
      </c>
      <c r="C95" s="8" t="inlineStr">
        <is>
          <t>Resort-Style</t>
        </is>
      </c>
      <c r="D95" s="8" t="inlineStr">
        <is>
          <t>Community center, 2 resort pools, fitness, 8 tennis courts, 2 bocce courts, bike/jog trails</t>
        </is>
      </c>
      <c r="E95" s="8" t="inlineStr">
        <is>
          <t>$400K–$1M+</t>
        </is>
      </c>
      <c r="F95" s="8" t="inlineStr">
        <is>
          <t>Gated</t>
        </is>
      </c>
    </row>
    <row r="96">
      <c r="A96" s="7" t="inlineStr">
        <is>
          <t>The Vineyards</t>
        </is>
      </c>
      <c r="B96" s="7" t="inlineStr">
        <is>
          <t>Naples</t>
        </is>
      </c>
      <c r="C96" s="7" t="inlineStr">
        <is>
          <t>Golf/Family</t>
        </is>
      </c>
      <c r="D96" s="7" t="inlineStr">
        <is>
          <t>Golf courses, tennis, clubhouse, pool, family-friendly, top schools</t>
        </is>
      </c>
      <c r="E96" s="7" t="inlineStr">
        <is>
          <t>$300K–$1.5M</t>
        </is>
      </c>
      <c r="F96" s="7" t="inlineStr">
        <is>
          <t>Gated</t>
        </is>
      </c>
    </row>
    <row r="97">
      <c r="A97" s="8" t="inlineStr">
        <is>
          <t>Wilderness CC</t>
        </is>
      </c>
      <c r="B97" s="8" t="inlineStr">
        <is>
          <t>Naples</t>
        </is>
      </c>
      <c r="C97" s="8" t="inlineStr">
        <is>
          <t>Golf/Gated</t>
        </is>
      </c>
      <c r="D97" s="8" t="inlineStr">
        <is>
          <t>Golf course, clubhouse, pool, tennis</t>
        </is>
      </c>
      <c r="E97" s="8" t="inlineStr">
        <is>
          <t>$300K–$1M</t>
        </is>
      </c>
      <c r="F97" s="8" t="inlineStr">
        <is>
          <t>Gated</t>
        </is>
      </c>
    </row>
    <row r="98">
      <c r="A98" s="7" t="inlineStr">
        <is>
          <t>Wilshire Lakes</t>
        </is>
      </c>
      <c r="B98" s="7" t="inlineStr">
        <is>
          <t>Naples</t>
        </is>
      </c>
      <c r="C98" s="7" t="inlineStr">
        <is>
          <t>Gated</t>
        </is>
      </c>
      <c r="D98" s="7" t="inlineStr">
        <is>
          <t>Pool, tennis, community center</t>
        </is>
      </c>
      <c r="E98" s="7" t="inlineStr">
        <is>
          <t>$400K–$800K</t>
        </is>
      </c>
      <c r="F98" s="7" t="inlineStr">
        <is>
          <t>Gated</t>
        </is>
      </c>
    </row>
    <row r="99">
      <c r="A99" s="8" t="inlineStr">
        <is>
          <t>Winding Cypress</t>
        </is>
      </c>
      <c r="B99" s="8" t="inlineStr">
        <is>
          <t>Naples</t>
        </is>
      </c>
      <c r="C99" s="8" t="inlineStr">
        <is>
          <t>Gated</t>
        </is>
      </c>
      <c r="D99" s="8" t="inlineStr">
        <is>
          <t>Pool, fitness, nature setting</t>
        </is>
      </c>
      <c r="E99" s="8" t="inlineStr">
        <is>
          <t>$300K–$600K</t>
        </is>
      </c>
      <c r="F99" s="8" t="inlineStr">
        <is>
          <t>Gated</t>
        </is>
      </c>
    </row>
    <row r="100">
      <c r="A100" s="7" t="inlineStr">
        <is>
          <t>Windstar</t>
        </is>
      </c>
      <c r="B100" s="7" t="inlineStr">
        <is>
          <t>Naples</t>
        </is>
      </c>
      <c r="C100" s="7" t="inlineStr">
        <is>
          <t>Golf/Marina</t>
        </is>
      </c>
      <c r="D100" s="7" t="inlineStr">
        <is>
          <t>Golf course, marina, waterfront, clubhouse</t>
        </is>
      </c>
      <c r="E100" s="7" t="inlineStr">
        <is>
          <t>$400K–$2M</t>
        </is>
      </c>
      <c r="F100" s="7" t="inlineStr">
        <is>
          <t>Gated</t>
        </is>
      </c>
    </row>
    <row r="101">
      <c r="A101" s="8" t="inlineStr">
        <is>
          <t>Windward Isle</t>
        </is>
      </c>
      <c r="B101" s="8" t="inlineStr">
        <is>
          <t>Naples</t>
        </is>
      </c>
      <c r="C101" s="8" t="inlineStr">
        <is>
          <t>Gated</t>
        </is>
      </c>
      <c r="D101" s="8" t="inlineStr">
        <is>
          <t>Pool, fitness, newer homes</t>
        </is>
      </c>
      <c r="E101" s="8" t="inlineStr">
        <is>
          <t>$400K–$700K</t>
        </is>
      </c>
      <c r="F101" s="8" t="inlineStr">
        <is>
          <t>Gated</t>
        </is>
      </c>
    </row>
    <row r="102">
      <c r="A102" s="7" t="inlineStr">
        <is>
          <t>Wyndemere</t>
        </is>
      </c>
      <c r="B102" s="7" t="inlineStr">
        <is>
          <t>Naples</t>
        </is>
      </c>
      <c r="C102" s="7" t="inlineStr">
        <is>
          <t>Golf/Gated</t>
        </is>
      </c>
      <c r="D102" s="7" t="inlineStr">
        <is>
          <t>Golf course, clubhouse, tennis, pool, fitness</t>
        </is>
      </c>
      <c r="E102" s="7" t="inlineStr">
        <is>
          <t>$300K–$1.5M</t>
        </is>
      </c>
      <c r="F102" s="7" t="inlineStr">
        <is>
          <t>Guard-gated</t>
        </is>
      </c>
    </row>
    <row r="103">
      <c r="A103" s="4">
        <f>== SOUTHWEST FL — FORT MYERS / BONITA SPRINGS / ESTERO ===</f>
        <v/>
      </c>
      <c r="B103" s="5" t="n"/>
      <c r="C103" s="5" t="n"/>
      <c r="D103" s="5" t="n"/>
      <c r="E103" s="5" t="n"/>
      <c r="F103" s="6" t="n"/>
    </row>
    <row r="104">
      <c r="A104" s="7" t="inlineStr">
        <is>
          <t>Bella Terra</t>
        </is>
      </c>
      <c r="B104" s="7" t="inlineStr">
        <is>
          <t>Estero</t>
        </is>
      </c>
      <c r="C104" s="7" t="inlineStr">
        <is>
          <t>Gated</t>
        </is>
      </c>
      <c r="D104" s="7" t="inlineStr">
        <is>
          <t>Pool, fitness, lake views, walking trails</t>
        </is>
      </c>
      <c r="E104" s="7" t="inlineStr">
        <is>
          <t>$300K–$600K</t>
        </is>
      </c>
      <c r="F104" s="7" t="inlineStr">
        <is>
          <t>Gated</t>
        </is>
      </c>
    </row>
    <row r="105">
      <c r="A105" s="8" t="inlineStr">
        <is>
          <t>Bonita Bay Club</t>
        </is>
      </c>
      <c r="B105" s="8" t="inlineStr">
        <is>
          <t>Bonita Springs</t>
        </is>
      </c>
      <c r="C105" s="8" t="inlineStr">
        <is>
          <t>Luxury Golf</t>
        </is>
      </c>
      <c r="D105" s="8" t="inlineStr">
        <is>
          <t>5 championship golf courses, fitness, spa, beach park, tennis, pickleball, marina, dining</t>
        </is>
      </c>
      <c r="E105" s="8" t="inlineStr">
        <is>
          <t>$500K–$5M+</t>
        </is>
      </c>
      <c r="F105" s="8" t="inlineStr">
        <is>
          <t>Guard-gated</t>
        </is>
      </c>
    </row>
    <row r="106">
      <c r="A106" s="7" t="inlineStr">
        <is>
          <t>Bonita Isles</t>
        </is>
      </c>
      <c r="B106" s="7" t="inlineStr">
        <is>
          <t>Bonita Springs</t>
        </is>
      </c>
      <c r="C106" s="7" t="inlineStr">
        <is>
          <t>Gated</t>
        </is>
      </c>
      <c r="D106" s="7" t="inlineStr">
        <is>
          <t>Pool, cabanas, fitness, tennis, pickleball, tot lot, 2 lakes</t>
        </is>
      </c>
      <c r="E106" s="7" t="inlineStr">
        <is>
          <t>$300K–$600K</t>
        </is>
      </c>
      <c r="F106" s="7" t="inlineStr">
        <is>
          <t>Gated</t>
        </is>
      </c>
    </row>
    <row r="107">
      <c r="A107" s="8" t="inlineStr">
        <is>
          <t>Bonita Landing</t>
        </is>
      </c>
      <c r="B107" s="8" t="inlineStr">
        <is>
          <t>Bonita Springs</t>
        </is>
      </c>
      <c r="C107" s="8" t="inlineStr">
        <is>
          <t>Gated</t>
        </is>
      </c>
      <c r="D107" s="8" t="inlineStr">
        <is>
          <t>40-acre lake, fishing dock, basketball courts, pool</t>
        </is>
      </c>
      <c r="E107" s="8" t="inlineStr">
        <is>
          <t>$300K–$500K</t>
        </is>
      </c>
      <c r="F107" s="8" t="inlineStr">
        <is>
          <t>Gated</t>
        </is>
      </c>
    </row>
    <row r="108">
      <c r="A108" s="8" t="inlineStr">
        <is>
          <t>The Colony Golf &amp; CC</t>
        </is>
      </c>
      <c r="B108" s="8" t="inlineStr">
        <is>
          <t>Bonita Springs</t>
        </is>
      </c>
      <c r="C108" s="8" t="inlineStr">
        <is>
          <t>Luxury Golf/Condo</t>
        </is>
      </c>
      <c r="D108" s="8" t="inlineStr">
        <is>
          <t>Golf &amp; country club, luxury high-rises, estate homes, pool, fitness</t>
        </is>
      </c>
      <c r="E108" s="8" t="inlineStr">
        <is>
          <t>$500K–$3M+</t>
        </is>
      </c>
      <c r="F108" s="8" t="inlineStr">
        <is>
          <t>Guard-gated</t>
        </is>
      </c>
    </row>
    <row r="109">
      <c r="A109" s="7" t="inlineStr">
        <is>
          <t>Grandezza</t>
        </is>
      </c>
      <c r="B109" s="7" t="inlineStr">
        <is>
          <t>Estero</t>
        </is>
      </c>
      <c r="C109" s="7" t="inlineStr">
        <is>
          <t>Golf/Gated</t>
        </is>
      </c>
      <c r="D109" s="7" t="inlineStr">
        <is>
          <t>Golf course, clubhouse, pool, fitness, tennis</t>
        </is>
      </c>
      <c r="E109" s="7" t="inlineStr">
        <is>
          <t>$300K–$800K</t>
        </is>
      </c>
      <c r="F109" s="7" t="inlineStr">
        <is>
          <t>Gated</t>
        </is>
      </c>
    </row>
    <row r="110">
      <c r="A110" s="8" t="inlineStr">
        <is>
          <t>Gulf Harbour Yacht &amp; CC</t>
        </is>
      </c>
      <c r="B110" s="8" t="inlineStr">
        <is>
          <t>Fort Myers</t>
        </is>
      </c>
      <c r="C110" s="8" t="inlineStr">
        <is>
          <t>Yacht/Golf</t>
        </is>
      </c>
      <c r="D110" s="8" t="inlineStr">
        <is>
          <t>Deep-water marina, golf course, clubhouse, pool, tennis, dining, waterfront</t>
        </is>
      </c>
      <c r="E110" s="8" t="inlineStr">
        <is>
          <t>$400K–$3M+</t>
        </is>
      </c>
      <c r="F110" s="8" t="inlineStr">
        <is>
          <t>Guard-gated</t>
        </is>
      </c>
    </row>
    <row r="111">
      <c r="A111" s="8" t="inlineStr">
        <is>
          <t>Miromar Lakes Beach &amp; Golf</t>
        </is>
      </c>
      <c r="B111" s="8" t="inlineStr">
        <is>
          <t>Estero</t>
        </is>
      </c>
      <c r="C111" s="8" t="inlineStr">
        <is>
          <t>Lakefront Luxury</t>
        </is>
      </c>
      <c r="D111" s="8" t="inlineStr">
        <is>
          <t>700-acre lake, beachfront, Arthur Hills golf, European spa, fitness, 3 restaurants, water sports</t>
        </is>
      </c>
      <c r="E111" s="8" t="inlineStr">
        <is>
          <t>$500K–$5M+</t>
        </is>
      </c>
      <c r="F111" s="8" t="inlineStr">
        <is>
          <t>Guard-gated</t>
        </is>
      </c>
    </row>
    <row r="112">
      <c r="A112" s="7" t="inlineStr">
        <is>
          <t>Paseo</t>
        </is>
      </c>
      <c r="B112" s="7" t="inlineStr">
        <is>
          <t>Fort Myers</t>
        </is>
      </c>
      <c r="C112" s="7" t="inlineStr">
        <is>
          <t>Gated</t>
        </is>
      </c>
      <c r="D112" s="7" t="inlineStr">
        <is>
          <t>Pool, fitness, clubhouse, walking trails, restaurants, shops within community</t>
        </is>
      </c>
      <c r="E112" s="7" t="inlineStr">
        <is>
          <t>$300K–$800K</t>
        </is>
      </c>
      <c r="F112" s="7" t="inlineStr">
        <is>
          <t>Gated</t>
        </is>
      </c>
    </row>
    <row r="113">
      <c r="A113" s="8" t="inlineStr">
        <is>
          <t>Pelican Landing</t>
        </is>
      </c>
      <c r="B113" s="8" t="inlineStr">
        <is>
          <t>Bonita Springs</t>
        </is>
      </c>
      <c r="C113" s="8" t="inlineStr">
        <is>
          <t>Golf/Nature</t>
        </is>
      </c>
      <c r="D113" s="8" t="inlineStr">
        <is>
          <t>Golf, private beach park, canoe park, tennis, pool, fitness, nature trails</t>
        </is>
      </c>
      <c r="E113" s="8" t="inlineStr">
        <is>
          <t>$300K–$2M</t>
        </is>
      </c>
      <c r="F113" s="8" t="inlineStr">
        <is>
          <t>Gated</t>
        </is>
      </c>
    </row>
    <row r="114">
      <c r="A114" s="7" t="inlineStr">
        <is>
          <t>The Plantation Golf &amp; CC</t>
        </is>
      </c>
      <c r="B114" s="7" t="inlineStr">
        <is>
          <t>Fort Myers</t>
        </is>
      </c>
      <c r="C114" s="7" t="inlineStr">
        <is>
          <t>Golf/Gated</t>
        </is>
      </c>
      <c r="D114" s="7" t="inlineStr">
        <is>
          <t>Golf course, clubhouse, tennis, pool, fitness</t>
        </is>
      </c>
      <c r="E114" s="7" t="inlineStr">
        <is>
          <t>$300K–$1.5M</t>
        </is>
      </c>
      <c r="F114" s="7" t="inlineStr">
        <is>
          <t>Gated</t>
        </is>
      </c>
    </row>
    <row r="115">
      <c r="A115" s="8" t="inlineStr">
        <is>
          <t>The Preserve at Corkscrew</t>
        </is>
      </c>
      <c r="B115" s="8" t="inlineStr">
        <is>
          <t>Estero</t>
        </is>
      </c>
      <c r="C115" s="8" t="inlineStr">
        <is>
          <t>Gated/Nature</t>
        </is>
      </c>
      <c r="D115" s="8" t="inlineStr">
        <is>
          <t>Nature preserve, pool, fitness, trails</t>
        </is>
      </c>
      <c r="E115" s="8" t="inlineStr">
        <is>
          <t>$300K–$700K</t>
        </is>
      </c>
      <c r="F115" s="8" t="inlineStr">
        <is>
          <t>Gated</t>
        </is>
      </c>
    </row>
    <row r="116">
      <c r="A116" s="7" t="inlineStr">
        <is>
          <t>Renaissance Golf &amp; CC</t>
        </is>
      </c>
      <c r="B116" s="7" t="inlineStr">
        <is>
          <t>Fort Myers</t>
        </is>
      </c>
      <c r="C116" s="7" t="inlineStr">
        <is>
          <t>Golf/Gated</t>
        </is>
      </c>
      <c r="D116" s="7" t="inlineStr">
        <is>
          <t>Championship golf, spa, clubhouse dining, boutique luxury</t>
        </is>
      </c>
      <c r="E116" s="7" t="inlineStr">
        <is>
          <t>$400K–$1.5M</t>
        </is>
      </c>
      <c r="F116" s="7" t="inlineStr">
        <is>
          <t>Gated</t>
        </is>
      </c>
    </row>
    <row r="117">
      <c r="A117" s="8" t="inlineStr">
        <is>
          <t>Shadow Wood (at the Brooks)</t>
        </is>
      </c>
      <c r="B117" s="8" t="inlineStr">
        <is>
          <t>Bonita Springs</t>
        </is>
      </c>
      <c r="C117" s="8" t="inlineStr">
        <is>
          <t>Golf/Gated</t>
        </is>
      </c>
      <c r="D117" s="8" t="inlineStr">
        <is>
          <t>3 golf courses, clubhouse, fitness, pool, tennis, nature preserve</t>
        </is>
      </c>
      <c r="E117" s="8" t="inlineStr">
        <is>
          <t>$400K–$2M+</t>
        </is>
      </c>
      <c r="F117" s="8" t="inlineStr">
        <is>
          <t>Guard-gated</t>
        </is>
      </c>
    </row>
    <row r="118">
      <c r="A118" s="7" t="inlineStr">
        <is>
          <t>Shadow Wood Preserve</t>
        </is>
      </c>
      <c r="B118" s="7" t="inlineStr">
        <is>
          <t>Fort Myers</t>
        </is>
      </c>
      <c r="C118" s="7" t="inlineStr">
        <is>
          <t>Gated</t>
        </is>
      </c>
      <c r="D118" s="7" t="inlineStr">
        <is>
          <t>Nature preserve, pool, fitness, walking trails</t>
        </is>
      </c>
      <c r="E118" s="7" t="inlineStr">
        <is>
          <t>$300K–$700K</t>
        </is>
      </c>
      <c r="F118" s="7" t="inlineStr">
        <is>
          <t>Gated</t>
        </is>
      </c>
    </row>
    <row r="119">
      <c r="A119" s="8" t="inlineStr">
        <is>
          <t>Verandah</t>
        </is>
      </c>
      <c r="B119" s="8" t="inlineStr">
        <is>
          <t>Fort Myers</t>
        </is>
      </c>
      <c r="C119" s="8" t="inlineStr">
        <is>
          <t>Golf/River</t>
        </is>
      </c>
      <c r="D119" s="8" t="inlineStr">
        <is>
          <t>2 golf courses, riverfront clubhouse, pool, tennis, fitness, marina, kayaking</t>
        </is>
      </c>
      <c r="E119" s="8" t="inlineStr">
        <is>
          <t>$300K–$1M</t>
        </is>
      </c>
      <c r="F119" s="8" t="inlineStr">
        <is>
          <t>Gated</t>
        </is>
      </c>
    </row>
    <row r="120">
      <c r="A120" s="7" t="inlineStr">
        <is>
          <t>West Bay Beach &amp; Golf</t>
        </is>
      </c>
      <c r="B120" s="7" t="inlineStr">
        <is>
          <t>Estero</t>
        </is>
      </c>
      <c r="C120" s="7" t="inlineStr">
        <is>
          <t>Golf/Gated</t>
        </is>
      </c>
      <c r="D120" s="7" t="inlineStr">
        <is>
          <t>Golf course, beach access, clubhouse, pool, fitness</t>
        </is>
      </c>
      <c r="E120" s="7" t="inlineStr">
        <is>
          <t>$400K–$1.5M</t>
        </is>
      </c>
      <c r="F120" s="7" t="inlineStr">
        <is>
          <t>Gated</t>
        </is>
      </c>
    </row>
    <row r="121">
      <c r="A121" s="8" t="inlineStr">
        <is>
          <t>Wildcat Run Golf &amp; CC</t>
        </is>
      </c>
      <c r="B121" s="8" t="inlineStr">
        <is>
          <t>Estero</t>
        </is>
      </c>
      <c r="C121" s="8" t="inlineStr">
        <is>
          <t>Golf/Gated</t>
        </is>
      </c>
      <c r="D121" s="8" t="inlineStr">
        <is>
          <t>Golf course (Arnold Palmer), clubhouse, pool, tennis</t>
        </is>
      </c>
      <c r="E121" s="8" t="inlineStr">
        <is>
          <t>$300K–$1M</t>
        </is>
      </c>
      <c r="F121" s="8" t="inlineStr">
        <is>
          <t>Gated</t>
        </is>
      </c>
    </row>
    <row r="122">
      <c r="A122" s="4">
        <f>== SOUTHWEST FL — SARASOTA / LAKEWOOD RANCH / VENICE ===</f>
        <v/>
      </c>
      <c r="B122" s="5" t="n"/>
      <c r="C122" s="5" t="n"/>
      <c r="D122" s="5" t="n"/>
      <c r="E122" s="5" t="n"/>
      <c r="F122" s="6" t="n"/>
    </row>
    <row r="123">
      <c r="A123" s="8" t="inlineStr">
        <is>
          <t>Boca Royale Golf &amp; CC</t>
        </is>
      </c>
      <c r="B123" s="8" t="inlineStr">
        <is>
          <t>Englewood</t>
        </is>
      </c>
      <c r="C123" s="8" t="inlineStr">
        <is>
          <t>Golf/Coastal</t>
        </is>
      </c>
      <c r="D123" s="8" t="inlineStr">
        <is>
          <t>Golf course, resort amenities, clubhouse, pool, fitness, 15 min from beaches</t>
        </is>
      </c>
      <c r="E123" s="8" t="inlineStr">
        <is>
          <t>$200K–$800K</t>
        </is>
      </c>
      <c r="F123" s="8" t="inlineStr">
        <is>
          <t>Gated</t>
        </is>
      </c>
    </row>
    <row r="124">
      <c r="A124" s="7" t="inlineStr">
        <is>
          <t>Country Club East</t>
        </is>
      </c>
      <c r="B124" s="7" t="inlineStr">
        <is>
          <t>Lakewood Ranch</t>
        </is>
      </c>
      <c r="C124" s="7" t="inlineStr">
        <is>
          <t>Golf/Luxury</t>
        </is>
      </c>
      <c r="D124" s="7" t="inlineStr">
        <is>
          <t>Golf course, fully staffed gate, clubhouse, pool, tennis, fitness</t>
        </is>
      </c>
      <c r="E124" s="7" t="inlineStr">
        <is>
          <t>$500K–$2M+</t>
        </is>
      </c>
      <c r="F124" s="7" t="inlineStr">
        <is>
          <t>Staffed guard gate</t>
        </is>
      </c>
    </row>
    <row r="125">
      <c r="A125" s="7" t="inlineStr">
        <is>
          <t>The Founders Club</t>
        </is>
      </c>
      <c r="B125" s="7" t="inlineStr">
        <is>
          <t>Sarasota</t>
        </is>
      </c>
      <c r="C125" s="7" t="inlineStr">
        <is>
          <t>Luxury Golf</t>
        </is>
      </c>
      <c r="D125" s="7" t="inlineStr">
        <is>
          <t>Robert Trent Jones Jr. golf course, clubhouse, dining, fitness, resort pool, tennis</t>
        </is>
      </c>
      <c r="E125" s="7" t="inlineStr">
        <is>
          <t>$700K–$3M+</t>
        </is>
      </c>
      <c r="F125" s="7" t="inlineStr">
        <is>
          <t>Guard-gated</t>
        </is>
      </c>
    </row>
    <row r="126">
      <c r="A126" s="8" t="inlineStr">
        <is>
          <t>Hampton Lakes</t>
        </is>
      </c>
      <c r="B126" s="8" t="inlineStr">
        <is>
          <t>Sarasota</t>
        </is>
      </c>
      <c r="C126" s="8" t="inlineStr">
        <is>
          <t>Gated</t>
        </is>
      </c>
      <c r="D126" s="8" t="inlineStr">
        <is>
          <t>Pool, fitness, newer construction</t>
        </is>
      </c>
      <c r="E126" s="8" t="inlineStr">
        <is>
          <t>$300K–$600K</t>
        </is>
      </c>
      <c r="F126" s="8" t="inlineStr">
        <is>
          <t>Gated</t>
        </is>
      </c>
    </row>
    <row r="127">
      <c r="A127" s="7" t="inlineStr">
        <is>
          <t>Heron Landing</t>
        </is>
      </c>
      <c r="B127" s="7" t="inlineStr">
        <is>
          <t>Sarasota</t>
        </is>
      </c>
      <c r="C127" s="7" t="inlineStr">
        <is>
          <t>Gated</t>
        </is>
      </c>
      <c r="D127" s="7" t="inlineStr">
        <is>
          <t>Pool, fitness, walking trails</t>
        </is>
      </c>
      <c r="E127" s="7" t="inlineStr">
        <is>
          <t>$300K–$500K</t>
        </is>
      </c>
      <c r="F127" s="7" t="inlineStr">
        <is>
          <t>Gated</t>
        </is>
      </c>
    </row>
    <row r="128">
      <c r="A128" s="8" t="inlineStr">
        <is>
          <t>The Lake Club</t>
        </is>
      </c>
      <c r="B128" s="5" t="n"/>
      <c r="C128" s="5" t="n"/>
      <c r="D128" s="5" t="n"/>
      <c r="E128" s="5" t="n"/>
      <c r="F128" s="6" t="n"/>
    </row>
    <row r="129">
      <c r="A129" s="7" t="inlineStr">
        <is>
          <t>Lakewood National</t>
        </is>
      </c>
      <c r="B129" s="7" t="inlineStr">
        <is>
          <t>Lakewood Ranch</t>
        </is>
      </c>
      <c r="C129" s="7" t="inlineStr">
        <is>
          <t>Golf/Gated</t>
        </is>
      </c>
      <c r="D129" s="7" t="inlineStr">
        <is>
          <t>Golf course, clubhouse, pool, fitness</t>
        </is>
      </c>
      <c r="E129" s="7" t="inlineStr">
        <is>
          <t>$300K–$700K</t>
        </is>
      </c>
      <c r="F129" s="7" t="inlineStr">
        <is>
          <t>Gated</t>
        </is>
      </c>
    </row>
    <row r="130">
      <c r="A130" s="8" t="inlineStr">
        <is>
          <t>Lakewood Ranch Golf &amp; CC</t>
        </is>
      </c>
      <c r="B130" s="8" t="inlineStr">
        <is>
          <t>Lakewood Ranch</t>
        </is>
      </c>
      <c r="C130" s="8" t="inlineStr">
        <is>
          <t>Golf/Gated</t>
        </is>
      </c>
      <c r="D130" s="8" t="inlineStr">
        <is>
          <t>Golf course, clubhouse, fitness, pool, tennis, trails, events</t>
        </is>
      </c>
      <c r="E130" s="8" t="inlineStr">
        <is>
          <t>$300K–$2M+</t>
        </is>
      </c>
      <c r="F130" s="8" t="inlineStr">
        <is>
          <t>Gated</t>
        </is>
      </c>
    </row>
    <row r="131">
      <c r="A131" s="7" t="inlineStr">
        <is>
          <t>Miramar</t>
        </is>
      </c>
      <c r="B131" s="7" t="inlineStr">
        <is>
          <t>Lakewood Ranch</t>
        </is>
      </c>
      <c r="C131" s="7" t="inlineStr">
        <is>
          <t>Gated</t>
        </is>
      </c>
      <c r="D131" s="7" t="inlineStr">
        <is>
          <t>Pool, fitness, walking trails</t>
        </is>
      </c>
      <c r="E131" s="7" t="inlineStr">
        <is>
          <t>$300K–$600K</t>
        </is>
      </c>
      <c r="F131" s="7" t="inlineStr">
        <is>
          <t>Gated</t>
        </is>
      </c>
    </row>
    <row r="132">
      <c r="A132" s="8" t="inlineStr">
        <is>
          <t>Monterey at Lakewood Ranch</t>
        </is>
      </c>
      <c r="B132" s="8" t="inlineStr">
        <is>
          <t>Lakewood Ranch</t>
        </is>
      </c>
      <c r="C132" s="8" t="inlineStr">
        <is>
          <t>Luxury Gated</t>
        </is>
      </c>
      <c r="D132" s="8" t="inlineStr">
        <is>
          <t>Toll Brothers homes, pool, fitness</t>
        </is>
      </c>
      <c r="E132" s="8" t="inlineStr">
        <is>
          <t>$500K–$1.5M</t>
        </is>
      </c>
      <c r="F132" s="8" t="inlineStr">
        <is>
          <t>Gated</t>
        </is>
      </c>
    </row>
    <row r="133">
      <c r="A133" s="7" t="inlineStr">
        <is>
          <t>The Moorings (LWR)</t>
        </is>
      </c>
      <c r="B133" s="7" t="inlineStr">
        <is>
          <t>Lakewood Ranch</t>
        </is>
      </c>
      <c r="C133" s="7" t="inlineStr">
        <is>
          <t>Gated</t>
        </is>
      </c>
      <c r="D133" s="7" t="inlineStr">
        <is>
          <t>Pool, fitness, lake views</t>
        </is>
      </c>
      <c r="E133" s="7" t="inlineStr">
        <is>
          <t>$400K–$800K</t>
        </is>
      </c>
      <c r="F133" s="7" t="inlineStr">
        <is>
          <t>Gated</t>
        </is>
      </c>
    </row>
    <row r="134">
      <c r="A134" s="8" t="inlineStr">
        <is>
          <t>Palm Grove</t>
        </is>
      </c>
      <c r="B134" s="8" t="inlineStr">
        <is>
          <t>Lakewood Ranch</t>
        </is>
      </c>
      <c r="C134" s="8" t="inlineStr">
        <is>
          <t>Gated</t>
        </is>
      </c>
      <c r="D134" s="8" t="inlineStr">
        <is>
          <t>Pool, fitness, modern amenities</t>
        </is>
      </c>
      <c r="E134" s="8" t="inlineStr">
        <is>
          <t>$300K–$600K</t>
        </is>
      </c>
      <c r="F134" s="8" t="inlineStr">
        <is>
          <t>Gated</t>
        </is>
      </c>
    </row>
    <row r="135">
      <c r="A135" s="7" t="inlineStr">
        <is>
          <t>Polo Run</t>
        </is>
      </c>
      <c r="B135" s="7" t="inlineStr">
        <is>
          <t>Lakewood Ranch</t>
        </is>
      </c>
      <c r="C135" s="7" t="inlineStr">
        <is>
          <t>Gated</t>
        </is>
      </c>
      <c r="D135" s="7" t="inlineStr">
        <is>
          <t>Pool, fitness, clubhouse</t>
        </is>
      </c>
      <c r="E135" s="7" t="inlineStr">
        <is>
          <t>$300K–$600K</t>
        </is>
      </c>
      <c r="F135" s="7" t="inlineStr">
        <is>
          <t>Gated</t>
        </is>
      </c>
    </row>
    <row r="136">
      <c r="A136" s="8" t="inlineStr">
        <is>
          <t>Rosedale Golf &amp; CC</t>
        </is>
      </c>
      <c r="B136" s="8" t="inlineStr">
        <is>
          <t>Lakewood Ranch/Bradenton</t>
        </is>
      </c>
      <c r="C136" s="8" t="inlineStr">
        <is>
          <t>Golf/Gated</t>
        </is>
      </c>
      <c r="D136" s="8" t="inlineStr">
        <is>
          <t>Golf course, clubhouse, pool, tennis, fitness</t>
        </is>
      </c>
      <c r="E136" s="8" t="inlineStr">
        <is>
          <t>$300K–$800K</t>
        </is>
      </c>
      <c r="F136" s="8" t="inlineStr">
        <is>
          <t>Gated</t>
        </is>
      </c>
    </row>
    <row r="137">
      <c r="A137" s="7" t="inlineStr">
        <is>
          <t>Star Farms at Lakewood Ranch</t>
        </is>
      </c>
      <c r="B137" s="7" t="inlineStr">
        <is>
          <t>Lakewood Ranch</t>
        </is>
      </c>
      <c r="C137" s="7" t="inlineStr">
        <is>
          <t>Resort-Style Gated</t>
        </is>
      </c>
      <c r="D137" s="7" t="inlineStr">
        <is>
          <t>1,300-acre village, resort amenities, pool, fitness, trails</t>
        </is>
      </c>
      <c r="E137" s="7" t="inlineStr">
        <is>
          <t>$300K–$800K</t>
        </is>
      </c>
      <c r="F137" s="7" t="inlineStr">
        <is>
          <t>Gated</t>
        </is>
      </c>
    </row>
    <row r="138">
      <c r="A138" s="8" t="inlineStr">
        <is>
          <t>Watercrest at Lakewood Ranch</t>
        </is>
      </c>
      <c r="B138" s="8" t="inlineStr">
        <is>
          <t>Lakewood Ranch</t>
        </is>
      </c>
      <c r="C138" s="8" t="inlineStr">
        <is>
          <t>Gated</t>
        </is>
      </c>
      <c r="D138" s="8" t="inlineStr">
        <is>
          <t>Pool, fitness, lake views</t>
        </is>
      </c>
      <c r="E138" s="8" t="inlineStr">
        <is>
          <t>$300K–$600K</t>
        </is>
      </c>
      <c r="F138" s="8" t="inlineStr">
        <is>
          <t>Gated</t>
        </is>
      </c>
    </row>
    <row r="139">
      <c r="A139" s="7" t="inlineStr">
        <is>
          <t>Wildgrass</t>
        </is>
      </c>
      <c r="B139" s="7" t="inlineStr">
        <is>
          <t>Sarasota</t>
        </is>
      </c>
      <c r="C139" s="7" t="inlineStr">
        <is>
          <t>Gated</t>
        </is>
      </c>
      <c r="D139" s="7" t="inlineStr">
        <is>
          <t>Pool, fitness, nature setting</t>
        </is>
      </c>
      <c r="E139" s="7" t="inlineStr">
        <is>
          <t>$300K–$600K</t>
        </is>
      </c>
      <c r="F139" s="7" t="inlineStr">
        <is>
          <t>Gated</t>
        </is>
      </c>
    </row>
    <row r="140">
      <c r="A140" s="4">
        <f>== SOUTHEAST FL — MIAMI-DADE COUNTY ===</f>
        <v/>
      </c>
      <c r="B140" s="5" t="n"/>
      <c r="C140" s="5" t="n"/>
      <c r="D140" s="5" t="n"/>
      <c r="E140" s="5" t="n"/>
      <c r="F140" s="6" t="n"/>
    </row>
    <row r="141">
      <c r="A141" s="7" t="inlineStr">
        <is>
          <t>Cocoplum</t>
        </is>
      </c>
      <c r="B141" s="7" t="inlineStr">
        <is>
          <t>Coral Gables</t>
        </is>
      </c>
      <c r="C141" s="7" t="inlineStr">
        <is>
          <t>Luxury Waterfront</t>
        </is>
      </c>
      <c r="D141" s="7" t="inlineStr">
        <is>
          <t>Clubhouse, fitness, tennis, playground, yacht club, 24-hr security, 300 homes</t>
        </is>
      </c>
      <c r="E141" s="7" t="inlineStr">
        <is>
          <t>$2.5M–$16M</t>
        </is>
      </c>
      <c r="F141" s="7" t="inlineStr">
        <is>
          <t>24-hr security</t>
        </is>
      </c>
    </row>
    <row r="142">
      <c r="A142" s="8" t="inlineStr">
        <is>
          <t>Fisher Island</t>
        </is>
      </c>
      <c r="B142" s="8" t="inlineStr">
        <is>
          <t>Miami Beach</t>
        </is>
      </c>
      <c r="C142" s="8" t="inlineStr">
        <is>
          <t>Ultra-Luxury Island</t>
        </is>
      </c>
      <c r="D142" s="8" t="inlineStr">
        <is>
          <t>Private ferry, hotel, beach, 9-hole golf, 17 tennis courts, 2 marinas, spa, fitness, dining, medical, school</t>
        </is>
      </c>
      <c r="E142" s="8" t="inlineStr">
        <is>
          <t>$3M–$50M+</t>
        </is>
      </c>
      <c r="F142" s="8" t="inlineStr">
        <is>
          <t>Private island/ferry</t>
        </is>
      </c>
    </row>
    <row r="143">
      <c r="A143" s="7" t="inlineStr">
        <is>
          <t>Gables Estates</t>
        </is>
      </c>
      <c r="B143" s="7" t="inlineStr">
        <is>
          <t>Coral Gables</t>
        </is>
      </c>
      <c r="C143" s="7" t="inlineStr">
        <is>
          <t>Ultra-Luxury</t>
        </is>
      </c>
      <c r="D143" s="7" t="inlineStr">
        <is>
          <t>Wide canals, no-bridge Bay access, tennis, lots 30K–200K SF</t>
        </is>
      </c>
      <c r="E143" s="7" t="inlineStr">
        <is>
          <t>$4.5M–$45M+</t>
        </is>
      </c>
      <c r="F143" s="7" t="inlineStr">
        <is>
          <t>Guard-gated</t>
        </is>
      </c>
    </row>
    <row r="144">
      <c r="A144" s="8" t="inlineStr">
        <is>
          <t>Golden Beach</t>
        </is>
      </c>
      <c r="B144" s="8" t="inlineStr">
        <is>
          <t>Golden Beach</t>
        </is>
      </c>
      <c r="C144" s="8" t="inlineStr">
        <is>
          <t>Incorporated Village</t>
        </is>
      </c>
      <c r="D144" s="8" t="inlineStr">
        <is>
          <t>Own police force, beachfront, park, extreme privacy</t>
        </is>
      </c>
      <c r="E144" s="8" t="inlineStr">
        <is>
          <t>$5M–$30M+</t>
        </is>
      </c>
      <c r="F144" s="8" t="inlineStr">
        <is>
          <t>Own police dept</t>
        </is>
      </c>
    </row>
    <row r="145">
      <c r="A145" s="7" t="inlineStr">
        <is>
          <t>Hammock Lakes</t>
        </is>
      </c>
      <c r="B145" s="7" t="inlineStr">
        <is>
          <t>Coral Gables</t>
        </is>
      </c>
      <c r="C145" s="7" t="inlineStr">
        <is>
          <t>Luxury</t>
        </is>
      </c>
      <c r="D145" s="7" t="inlineStr">
        <is>
          <t>Built around 2 lakes, private, Old Cutler Road location</t>
        </is>
      </c>
      <c r="E145" s="7" t="inlineStr">
        <is>
          <t>$2M–$8M+</t>
        </is>
      </c>
      <c r="F145" s="7" t="inlineStr">
        <is>
          <t>Gated</t>
        </is>
      </c>
    </row>
    <row r="146">
      <c r="A146" s="8" t="inlineStr">
        <is>
          <t>Hughes Cove</t>
        </is>
      </c>
      <c r="B146" s="8" t="inlineStr">
        <is>
          <t>Coconut Grove</t>
        </is>
      </c>
      <c r="C146" s="8" t="inlineStr">
        <is>
          <t>Waterfront Luxury</t>
        </is>
      </c>
      <c r="D146" s="8" t="inlineStr">
        <is>
          <t>Waterfront, marina, clubhouse, pool, gym, tennis, private beach</t>
        </is>
      </c>
      <c r="E146" s="8" t="inlineStr">
        <is>
          <t>$3M–$12M+</t>
        </is>
      </c>
      <c r="F146" s="8" t="inlineStr">
        <is>
          <t>Gated</t>
        </is>
      </c>
    </row>
    <row r="147">
      <c r="A147" s="7" t="inlineStr">
        <is>
          <t>Indian Creek Village</t>
        </is>
      </c>
      <c r="B147" s="5" t="n"/>
      <c r="C147" s="5" t="n"/>
      <c r="D147" s="5" t="n"/>
      <c r="E147" s="5" t="n"/>
      <c r="F147" s="6" t="n"/>
    </row>
    <row r="148">
      <c r="A148" s="8" t="inlineStr">
        <is>
          <t>Key Biscayne (various)</t>
        </is>
      </c>
      <c r="B148" s="8" t="inlineStr">
        <is>
          <t>Key Biscayne</t>
        </is>
      </c>
      <c r="C148" s="8" t="inlineStr">
        <is>
          <t>Island Community</t>
        </is>
      </c>
      <c r="D148" s="8" t="inlineStr">
        <is>
          <t>Golf course, beaches, yacht club, beach clubs, parks, tennis</t>
        </is>
      </c>
      <c r="E148" s="8" t="inlineStr">
        <is>
          <t>$1M–$30M+</t>
        </is>
      </c>
      <c r="F148" s="8" t="inlineStr">
        <is>
          <t>Bridge access</t>
        </is>
      </c>
    </row>
    <row r="149">
      <c r="A149" s="7" t="inlineStr">
        <is>
          <t>Morningside Park area</t>
        </is>
      </c>
      <c r="B149" s="7" t="inlineStr">
        <is>
          <t>Miami</t>
        </is>
      </c>
      <c r="C149" s="7" t="inlineStr">
        <is>
          <t>Gated</t>
        </is>
      </c>
      <c r="D149" s="7" t="inlineStr">
        <is>
          <t>Basketball, volleyball, tennis, BBQ, boat ramp, historic charm</t>
        </is>
      </c>
      <c r="E149" s="7" t="inlineStr">
        <is>
          <t>$800K–$5M+</t>
        </is>
      </c>
      <c r="F149" s="7" t="inlineStr">
        <is>
          <t>Gated</t>
        </is>
      </c>
    </row>
    <row r="150">
      <c r="A150" s="8" t="inlineStr">
        <is>
          <t>Ocean Reef Club</t>
        </is>
      </c>
      <c r="B150" s="8" t="inlineStr">
        <is>
          <t>Key Largo</t>
        </is>
      </c>
      <c r="C150" s="8" t="inlineStr">
        <is>
          <t>Luxury Private Club</t>
        </is>
      </c>
      <c r="D150" s="8" t="inlineStr">
        <is>
          <t>Private marina, golf courses, tennis, private airport, medical center, dining, spa</t>
        </is>
      </c>
      <c r="E150" s="8" t="inlineStr">
        <is>
          <t>$2M–$30M+</t>
        </is>
      </c>
      <c r="F150" s="8" t="inlineStr">
        <is>
          <t>Guard-gated</t>
        </is>
      </c>
    </row>
    <row r="151">
      <c r="A151" s="7" t="inlineStr">
        <is>
          <t>Old Cutler Bay</t>
        </is>
      </c>
      <c r="B151" s="7" t="inlineStr">
        <is>
          <t>Miami</t>
        </is>
      </c>
      <c r="C151" s="7" t="inlineStr">
        <is>
          <t>Family Luxury</t>
        </is>
      </c>
      <c r="D151" s="7" t="inlineStr">
        <is>
          <t>136 homes, tennis courts, park setting, near top schools</t>
        </is>
      </c>
      <c r="E151" s="7" t="inlineStr">
        <is>
          <t>$2M–$10M+</t>
        </is>
      </c>
      <c r="F151" s="7" t="inlineStr">
        <is>
          <t>Guard-gated</t>
        </is>
      </c>
    </row>
    <row r="152">
      <c r="A152" s="8" t="inlineStr">
        <is>
          <t>Palm Island</t>
        </is>
      </c>
      <c r="B152" s="8" t="inlineStr">
        <is>
          <t>Miami Beach</t>
        </is>
      </c>
      <c r="C152" s="8" t="inlineStr">
        <is>
          <t>Luxury Island</t>
        </is>
      </c>
      <c r="D152" s="8" t="inlineStr">
        <is>
          <t>Park w/ basketball, 3 tennis courts, playground, waterfront</t>
        </is>
      </c>
      <c r="E152" s="8" t="inlineStr">
        <is>
          <t>$4M–$20M+</t>
        </is>
      </c>
      <c r="F152" s="8" t="inlineStr">
        <is>
          <t>Guard-gated</t>
        </is>
      </c>
    </row>
    <row r="153">
      <c r="A153" s="7" t="inlineStr">
        <is>
          <t>Hibiscus Island</t>
        </is>
      </c>
      <c r="B153" s="7" t="inlineStr">
        <is>
          <t>Miami Beach</t>
        </is>
      </c>
      <c r="C153" s="7" t="inlineStr">
        <is>
          <t>Luxury Island</t>
        </is>
      </c>
      <c r="D153" s="7" t="inlineStr">
        <is>
          <t>Private security, waterfront, close to South Beach</t>
        </is>
      </c>
      <c r="E153" s="7" t="inlineStr">
        <is>
          <t>$4M–$20M+</t>
        </is>
      </c>
      <c r="F153" s="7" t="inlineStr">
        <is>
          <t>Guard-gated</t>
        </is>
      </c>
    </row>
    <row r="154">
      <c r="A154" s="8" t="inlineStr">
        <is>
          <t>Star Island</t>
        </is>
      </c>
      <c r="B154" s="8" t="inlineStr">
        <is>
          <t>Miami Beach</t>
        </is>
      </c>
      <c r="C154" s="8" t="inlineStr">
        <is>
          <t>Ultra-Luxury Island</t>
        </is>
      </c>
      <c r="D154" s="8" t="inlineStr">
        <is>
          <t>35 waterfront homes, celebrity enclave, private security</t>
        </is>
      </c>
      <c r="E154" s="8" t="inlineStr">
        <is>
          <t>$30M–$100M+</t>
        </is>
      </c>
      <c r="F154" s="8" t="inlineStr">
        <is>
          <t>Guard-gated</t>
        </is>
      </c>
    </row>
    <row r="155">
      <c r="A155" s="7" t="inlineStr">
        <is>
          <t>Sunset Islands</t>
        </is>
      </c>
      <c r="B155" s="7" t="inlineStr">
        <is>
          <t>Miami Beach</t>
        </is>
      </c>
      <c r="C155" s="7" t="inlineStr">
        <is>
          <t>Luxury Islands</t>
        </is>
      </c>
      <c r="D155" s="7" t="inlineStr">
        <is>
          <t>24/7 guard-gated, 50–80 homes per island, Biscayne Bay</t>
        </is>
      </c>
      <c r="E155" s="7" t="inlineStr">
        <is>
          <t>$4.7M–$20M+</t>
        </is>
      </c>
      <c r="F155" s="7" t="inlineStr">
        <is>
          <t>24/7 guard-gated</t>
        </is>
      </c>
    </row>
    <row r="156">
      <c r="A156" s="8" t="inlineStr">
        <is>
          <t>Tahiti Beach (in Cocoplum)</t>
        </is>
      </c>
      <c r="B156" s="8" t="inlineStr">
        <is>
          <t>Coral Gables</t>
        </is>
      </c>
      <c r="C156" s="8" t="inlineStr">
        <is>
          <t>Ultra-Luxury</t>
        </is>
      </c>
      <c r="D156" s="8" t="inlineStr">
        <is>
          <t>29 homes, most direct oceanfront, within Cocoplum</t>
        </is>
      </c>
      <c r="E156" s="8" t="inlineStr">
        <is>
          <t>$10M–$30M+</t>
        </is>
      </c>
      <c r="F156" s="8" t="inlineStr">
        <is>
          <t>Double-gated</t>
        </is>
      </c>
    </row>
    <row r="157">
      <c r="A157" s="7" t="inlineStr">
        <is>
          <t>The Moorings (Grove)</t>
        </is>
      </c>
      <c r="B157" s="7" t="inlineStr">
        <is>
          <t>Coconut Grove</t>
        </is>
      </c>
      <c r="C157" s="7" t="inlineStr">
        <is>
          <t>Waterfront Luxury</t>
        </is>
      </c>
      <c r="D157" s="7" t="inlineStr">
        <is>
          <t>37 homes, park, boat docks, no-bridge Bay access</t>
        </is>
      </c>
      <c r="E157" s="7" t="inlineStr">
        <is>
          <t>$4.7M–$12.5M</t>
        </is>
      </c>
      <c r="F157" s="7" t="inlineStr">
        <is>
          <t>Gated</t>
        </is>
      </c>
    </row>
    <row r="158">
      <c r="A158" s="8" t="inlineStr">
        <is>
          <t>Casa de Campo</t>
        </is>
      </c>
      <c r="B158" s="8" t="inlineStr">
        <is>
          <t>Miami</t>
        </is>
      </c>
      <c r="C158" s="8" t="inlineStr">
        <is>
          <t>Gated</t>
        </is>
      </c>
      <c r="D158" s="8" t="inlineStr">
        <is>
          <t>72 homes, Mediterranean courtyards, electronic gate</t>
        </is>
      </c>
      <c r="E158" s="8" t="inlineStr">
        <is>
          <t>$500K–$1.2M</t>
        </is>
      </c>
      <c r="F158" s="8" t="inlineStr">
        <is>
          <t>Electronic gate</t>
        </is>
      </c>
    </row>
    <row r="159">
      <c r="A159" s="7" t="inlineStr">
        <is>
          <t>Old Cutler Grove South</t>
        </is>
      </c>
      <c r="B159" s="7" t="inlineStr">
        <is>
          <t>Miami</t>
        </is>
      </c>
      <c r="C159" s="7" t="inlineStr">
        <is>
          <t>Gated</t>
        </is>
      </c>
      <c r="D159" s="7" t="inlineStr">
        <is>
          <t>16 homes, 2 tennis courts, walled enclave</t>
        </is>
      </c>
      <c r="E159" s="7" t="inlineStr">
        <is>
          <t>$1M–$3M</t>
        </is>
      </c>
      <c r="F159" s="7" t="inlineStr">
        <is>
          <t>Walled/gated</t>
        </is>
      </c>
    </row>
    <row r="160">
      <c r="A160" s="8" t="inlineStr">
        <is>
          <t>Royal Harbour</t>
        </is>
      </c>
      <c r="B160" s="8" t="inlineStr">
        <is>
          <t>Palmetto Bay</t>
        </is>
      </c>
      <c r="C160" s="8" t="inlineStr">
        <is>
          <t>Waterfront Gated</t>
        </is>
      </c>
      <c r="D160" s="8" t="inlineStr">
        <is>
          <t>Private island townhomes, marina, 24-hr manned security, bayfront</t>
        </is>
      </c>
      <c r="E160" s="8" t="inlineStr">
        <is>
          <t>$800K–$2M+</t>
        </is>
      </c>
      <c r="F160" s="8" t="inlineStr">
        <is>
          <t>24-hr manned</t>
        </is>
      </c>
    </row>
    <row r="161">
      <c r="A161" s="4">
        <f>== SOUTHEAST FL — FORT LAUDERDALE / BROWARD COUNTY ===</f>
        <v/>
      </c>
      <c r="B161" s="5" t="n"/>
      <c r="C161" s="5" t="n"/>
      <c r="D161" s="5" t="n"/>
      <c r="E161" s="5" t="n"/>
      <c r="F161" s="6" t="n"/>
    </row>
    <row r="162">
      <c r="A162" s="8" t="inlineStr">
        <is>
          <t>Bay Colony</t>
        </is>
      </c>
      <c r="B162" s="8" t="inlineStr">
        <is>
          <t>Fort Lauderdale</t>
        </is>
      </c>
      <c r="C162" s="8" t="inlineStr">
        <is>
          <t>Luxury Waterfront</t>
        </is>
      </c>
      <c r="D162" s="8" t="inlineStr">
        <is>
          <t>Private marina, 24/7 security, Intracoastal access, near Pine Crest School</t>
        </is>
      </c>
      <c r="E162" s="8" t="inlineStr">
        <is>
          <t>$2M–$15M+</t>
        </is>
      </c>
      <c r="F162" s="8" t="inlineStr">
        <is>
          <t>Guard-gated</t>
        </is>
      </c>
    </row>
    <row r="163">
      <c r="A163" s="7" t="inlineStr">
        <is>
          <t>The Enclave at Coral Ridge CC</t>
        </is>
      </c>
      <c r="B163" s="7" t="inlineStr">
        <is>
          <t>Fort Lauderdale</t>
        </is>
      </c>
      <c r="C163" s="7" t="inlineStr">
        <is>
          <t>Luxury Golf</t>
        </is>
      </c>
      <c r="D163" s="7" t="inlineStr">
        <is>
          <t>Coral Ridge CC access, luxury estates, golf, tennis</t>
        </is>
      </c>
      <c r="E163" s="7" t="inlineStr">
        <is>
          <t>$2M–$8M+</t>
        </is>
      </c>
      <c r="F163" s="7" t="inlineStr">
        <is>
          <t>Gated</t>
        </is>
      </c>
    </row>
    <row r="164">
      <c r="A164" s="8" t="inlineStr">
        <is>
          <t>Harbor Beach</t>
        </is>
      </c>
      <c r="B164" s="8" t="inlineStr">
        <is>
          <t>Fort Lauderdale</t>
        </is>
      </c>
      <c r="C164" s="8" t="inlineStr">
        <is>
          <t>Luxury Waterfront</t>
        </is>
      </c>
      <c r="D164" s="8" t="inlineStr">
        <is>
          <t>Private surf club, deep-water dockage, wide canals, beach</t>
        </is>
      </c>
      <c r="E164" s="8" t="inlineStr">
        <is>
          <t>$3M–$30M+</t>
        </is>
      </c>
      <c r="F164" s="8" t="inlineStr">
        <is>
          <t>Guard-gated</t>
        </is>
      </c>
    </row>
    <row r="165">
      <c r="A165" s="7" t="inlineStr">
        <is>
          <t>The Landings</t>
        </is>
      </c>
      <c r="B165" s="7" t="inlineStr">
        <is>
          <t>Fort Lauderdale</t>
        </is>
      </c>
      <c r="C165" s="7" t="inlineStr">
        <is>
          <t>Waterfront</t>
        </is>
      </c>
      <c r="D165" s="7" t="inlineStr">
        <is>
          <t>Deep-water canals, tennis, lush landscaping, family-friendly</t>
        </is>
      </c>
      <c r="E165" s="7" t="inlineStr">
        <is>
          <t>$1M–$5M+</t>
        </is>
      </c>
      <c r="F165" s="7" t="inlineStr">
        <is>
          <t>Gated</t>
        </is>
      </c>
    </row>
    <row r="166">
      <c r="A166" s="8" t="inlineStr">
        <is>
          <t>Rio Vista (gated sections)</t>
        </is>
      </c>
      <c r="B166" s="8" t="inlineStr">
        <is>
          <t>Fort Lauderdale</t>
        </is>
      </c>
      <c r="C166" s="8" t="inlineStr">
        <is>
          <t>Historic Luxury</t>
        </is>
      </c>
      <c r="D166" s="8" t="inlineStr">
        <is>
          <t>Tree-lined streets, Mediterranean to modern architecture, near downtown</t>
        </is>
      </c>
      <c r="E166" s="8" t="inlineStr">
        <is>
          <t>$1M–$10M+</t>
        </is>
      </c>
      <c r="F166" s="8" t="inlineStr">
        <is>
          <t>Gated sections</t>
        </is>
      </c>
    </row>
    <row r="167">
      <c r="A167" s="7" t="inlineStr">
        <is>
          <t>Sea Ranch Lakes</t>
        </is>
      </c>
      <c r="B167" s="7" t="inlineStr">
        <is>
          <t>Near Fort Lauderdale</t>
        </is>
      </c>
      <c r="C167" s="7" t="inlineStr">
        <is>
          <t>Village/Waterfront</t>
        </is>
      </c>
      <c r="D167" s="7" t="inlineStr">
        <is>
          <t>Private Beach Club (tennis, pool, clubhouse), own police, Intracoastal &amp; lakefront</t>
        </is>
      </c>
      <c r="E167" s="7" t="inlineStr">
        <is>
          <t>$2M–$15M+</t>
        </is>
      </c>
      <c r="F167" s="7" t="inlineStr">
        <is>
          <t>Own police/guard gate</t>
        </is>
      </c>
    </row>
    <row r="168">
      <c r="A168" s="8" t="inlineStr">
        <is>
          <t>Seven Isles</t>
        </is>
      </c>
      <c r="B168" s="5" t="n"/>
      <c r="C168" s="5" t="n"/>
      <c r="D168" s="5" t="n"/>
      <c r="E168" s="5" t="n"/>
      <c r="F168" s="6" t="n"/>
    </row>
    <row r="169">
      <c r="A169" s="7" t="inlineStr">
        <is>
          <t>Towers of Port Royale</t>
        </is>
      </c>
      <c r="B169" s="7" t="inlineStr">
        <is>
          <t>Fort Lauderdale</t>
        </is>
      </c>
      <c r="C169" s="7" t="inlineStr">
        <is>
          <t>Condo/Gated</t>
        </is>
      </c>
      <c r="D169" s="7" t="inlineStr">
        <is>
          <t>Guard gated, library, gym, BBQ, heated pool, tennis, marina views</t>
        </is>
      </c>
      <c r="E169" s="7" t="inlineStr">
        <is>
          <t>$200K–$500K</t>
        </is>
      </c>
      <c r="F169" s="7" t="inlineStr">
        <is>
          <t>Guard-gated</t>
        </is>
      </c>
    </row>
    <row r="170">
      <c r="A170" s="4">
        <f>== SOUTHEAST FL — PALM BEACH COUNTY ===</f>
        <v/>
      </c>
      <c r="B170" s="5" t="n"/>
      <c r="C170" s="5" t="n"/>
      <c r="D170" s="5" t="n"/>
      <c r="E170" s="5" t="n"/>
      <c r="F170" s="6" t="n"/>
    </row>
    <row r="171">
      <c r="A171" s="7" t="inlineStr">
        <is>
          <t>Admiral's Cove</t>
        </is>
      </c>
      <c r="B171" s="7" t="inlineStr">
        <is>
          <t>Jupiter</t>
        </is>
      </c>
      <c r="C171" s="7" t="inlineStr">
        <is>
          <t>Luxury Golf/Marina</t>
        </is>
      </c>
      <c r="D171" s="7" t="inlineStr">
        <is>
          <t>45 holes of golf, dining, spa, waterfront, marina</t>
        </is>
      </c>
      <c r="E171" s="7" t="inlineStr">
        <is>
          <t>$1M–$15M+</t>
        </is>
      </c>
      <c r="F171" s="7" t="inlineStr">
        <is>
          <t>Guard-gated</t>
        </is>
      </c>
    </row>
    <row r="172">
      <c r="A172" s="8" t="inlineStr">
        <is>
          <t>BallenIsles</t>
        </is>
      </c>
      <c r="B172" s="8" t="inlineStr">
        <is>
          <t>Palm Beach Gardens</t>
        </is>
      </c>
      <c r="C172" s="8" t="inlineStr">
        <is>
          <t>Luxury Golf</t>
        </is>
      </c>
      <c r="D172" s="8" t="inlineStr">
        <is>
          <t>3 championship golf courses, fitness center, vibrant social scene</t>
        </is>
      </c>
      <c r="E172" s="8" t="inlineStr">
        <is>
          <t>$500K–$5M+</t>
        </is>
      </c>
      <c r="F172" s="8" t="inlineStr">
        <is>
          <t>Guard-gated</t>
        </is>
      </c>
    </row>
    <row r="173">
      <c r="A173" s="7" t="inlineStr">
        <is>
          <t>The Bear's Club</t>
        </is>
      </c>
      <c r="B173" s="7" t="inlineStr">
        <is>
          <t>Jupiter</t>
        </is>
      </c>
      <c r="C173" s="7" t="inlineStr">
        <is>
          <t>Ultra-Luxury Golf</t>
        </is>
      </c>
      <c r="D173" s="7" t="inlineStr">
        <is>
          <t>Jack Nicklaus golf course, private club, fitness, dining</t>
        </is>
      </c>
      <c r="E173" s="7" t="inlineStr">
        <is>
          <t>$3M–$20M+</t>
        </is>
      </c>
      <c r="F173" s="7" t="inlineStr">
        <is>
          <t>Guard-gated</t>
        </is>
      </c>
    </row>
    <row r="174">
      <c r="A174" s="8" t="inlineStr">
        <is>
          <t>Club at Ibis</t>
        </is>
      </c>
      <c r="B174" s="8" t="inlineStr">
        <is>
          <t>West Palm Beach</t>
        </is>
      </c>
      <c r="C174" s="8" t="inlineStr">
        <is>
          <t>Golf/Nature</t>
        </is>
      </c>
      <c r="D174" s="8" t="inlineStr">
        <is>
          <t>3 Nicklaus family golf courses, sports, social calendar, Grassy Waters Preserve, 33 neighborhoods</t>
        </is>
      </c>
      <c r="E174" s="8" t="inlineStr">
        <is>
          <t>$300K–$3M+</t>
        </is>
      </c>
      <c r="F174" s="8" t="inlineStr">
        <is>
          <t>Gated</t>
        </is>
      </c>
    </row>
    <row r="175">
      <c r="A175" s="7" t="inlineStr">
        <is>
          <t>Frenchman's Creek</t>
        </is>
      </c>
      <c r="B175" s="7" t="inlineStr">
        <is>
          <t>Palm Beach Gardens</t>
        </is>
      </c>
      <c r="C175" s="7" t="inlineStr">
        <is>
          <t>Exclusive CC</t>
        </is>
      </c>
      <c r="D175" s="7" t="inlineStr">
        <is>
          <t>Country club, private beach club, golf, tennis, dining</t>
        </is>
      </c>
      <c r="E175" s="7" t="inlineStr">
        <is>
          <t>$1M–$10M+</t>
        </is>
      </c>
      <c r="F175" s="7" t="inlineStr">
        <is>
          <t>Guard-gated</t>
        </is>
      </c>
    </row>
    <row r="176">
      <c r="A176" s="8" t="inlineStr">
        <is>
          <t>Harbour Ridge Yacht &amp; CC</t>
        </is>
      </c>
      <c r="B176" s="8" t="inlineStr">
        <is>
          <t>Palm City</t>
        </is>
      </c>
      <c r="C176" s="8" t="inlineStr">
        <is>
          <t>Yacht/Golf</t>
        </is>
      </c>
      <c r="D176" s="8" t="inlineStr">
        <is>
          <t>Golf, boating, tennis, 2-mile St. Lucie River, 885 acres, member-owned</t>
        </is>
      </c>
      <c r="E176" s="8" t="inlineStr">
        <is>
          <t>$300K–$2M+</t>
        </is>
      </c>
      <c r="F176" s="8" t="inlineStr">
        <is>
          <t>Guard-gated</t>
        </is>
      </c>
    </row>
    <row r="177">
      <c r="A177" s="7" t="inlineStr">
        <is>
          <t>John's Island</t>
        </is>
      </c>
      <c r="B177" s="5" t="n"/>
      <c r="C177" s="5" t="n"/>
      <c r="D177" s="5" t="n"/>
      <c r="E177" s="5" t="n"/>
      <c r="F177" s="6" t="n"/>
    </row>
    <row r="178">
      <c r="A178" s="8" t="inlineStr">
        <is>
          <t>Mirasol</t>
        </is>
      </c>
      <c r="B178" s="8" t="inlineStr">
        <is>
          <t>Palm Beach Gardens</t>
        </is>
      </c>
      <c r="C178" s="8" t="inlineStr">
        <is>
          <t>Luxury Golf</t>
        </is>
      </c>
      <c r="D178" s="8" t="inlineStr">
        <is>
          <t>2 championship golf courses, country club, fitness, spa, tennis, pool</t>
        </is>
      </c>
      <c r="E178" s="8" t="inlineStr">
        <is>
          <t>$500K–$5M+</t>
        </is>
      </c>
      <c r="F178" s="8" t="inlineStr">
        <is>
          <t>Guard-gated</t>
        </is>
      </c>
    </row>
    <row r="179">
      <c r="A179" s="7" t="inlineStr">
        <is>
          <t>Old Palm Golf Club</t>
        </is>
      </c>
      <c r="B179" s="7" t="inlineStr">
        <is>
          <t>Palm Beach Gardens</t>
        </is>
      </c>
      <c r="C179" s="7" t="inlineStr">
        <is>
          <t>Ultra-Luxury</t>
        </is>
      </c>
      <c r="D179" s="7" t="inlineStr">
        <is>
          <t>Raymond Floyd golf course, world-class fitness/spa</t>
        </is>
      </c>
      <c r="E179" s="7" t="inlineStr">
        <is>
          <t>$2M–$15M+</t>
        </is>
      </c>
      <c r="F179" s="7" t="inlineStr">
        <is>
          <t>Guard-gated</t>
        </is>
      </c>
    </row>
    <row r="180">
      <c r="A180" s="8" t="inlineStr">
        <is>
          <t>PGA National Resort</t>
        </is>
      </c>
      <c r="B180" s="8" t="inlineStr">
        <is>
          <t>Palm Beach Gardens</t>
        </is>
      </c>
      <c r="C180" s="8" t="inlineStr">
        <is>
          <t>Golf/Resort</t>
        </is>
      </c>
      <c r="D180" s="8" t="inlineStr">
        <is>
          <t>5 championship golf courses, spa, fitness, tennis, dining, resort amenities</t>
        </is>
      </c>
      <c r="E180" s="8" t="inlineStr">
        <is>
          <t>$300K–$3M+</t>
        </is>
      </c>
      <c r="F180" s="8" t="inlineStr">
        <is>
          <t>Gated</t>
        </is>
      </c>
    </row>
    <row r="181">
      <c r="A181" s="7" t="inlineStr">
        <is>
          <t>Sailfish Point</t>
        </is>
      </c>
      <c r="B181" s="7" t="inlineStr">
        <is>
          <t>Stuart</t>
        </is>
      </c>
      <c r="C181" s="7" t="inlineStr">
        <is>
          <t>Luxury Waterfront</t>
        </is>
      </c>
      <c r="D181" s="7" t="inlineStr">
        <is>
          <t>Private marina, Jack Nicklaus golf, beach club, waterfront estates</t>
        </is>
      </c>
      <c r="E181" s="7" t="inlineStr">
        <is>
          <t>$1M–$10M+</t>
        </is>
      </c>
      <c r="F181" s="7" t="inlineStr">
        <is>
          <t>Guard-gated</t>
        </is>
      </c>
    </row>
    <row r="182">
      <c r="A182" s="4">
        <f>== TREASURE COAST (Port St. Lucie / Stuart) ===</f>
        <v/>
      </c>
      <c r="B182" s="5" t="n"/>
      <c r="C182" s="5" t="n"/>
      <c r="D182" s="5" t="n"/>
      <c r="E182" s="5" t="n"/>
      <c r="F182" s="6" t="n"/>
    </row>
    <row r="183">
      <c r="A183" s="7" t="inlineStr">
        <is>
          <t>Astor Creek Golf &amp; CC</t>
        </is>
      </c>
      <c r="B183" s="7" t="inlineStr">
        <is>
          <t>Port St. Lucie</t>
        </is>
      </c>
      <c r="C183" s="7" t="inlineStr">
        <is>
          <t>Golf/CC</t>
        </is>
      </c>
      <c r="D183" s="7" t="inlineStr">
        <is>
          <t>18-hole golf, pro shop, 15-acre driving range, pickleball, tennis, 15,000 sq ft clubhouse, fitness, pool, dining</t>
        </is>
      </c>
      <c r="E183" s="7" t="inlineStr">
        <is>
          <t>$300K–$800K+</t>
        </is>
      </c>
      <c r="F183" s="7" t="inlineStr">
        <is>
          <t>Gated</t>
        </is>
      </c>
    </row>
    <row r="184">
      <c r="A184" s="8" t="inlineStr">
        <is>
          <t>Tradition</t>
        </is>
      </c>
      <c r="B184" s="8" t="inlineStr">
        <is>
          <t>Port St. Lucie</t>
        </is>
      </c>
      <c r="C184" s="8" t="inlineStr">
        <is>
          <t>Master-Planned</t>
        </is>
      </c>
      <c r="D184" s="8" t="inlineStr">
        <is>
          <t>Multiple gated neighborhoods, pools, parks, trails, town center, schools</t>
        </is>
      </c>
      <c r="E184" s="8" t="inlineStr">
        <is>
          <t>$250K–$700K</t>
        </is>
      </c>
      <c r="F184" s="8" t="inlineStr">
        <is>
          <t>Various gated</t>
        </is>
      </c>
    </row>
    <row r="185">
      <c r="A185" s="7" t="inlineStr">
        <is>
          <t>The Club at Treasure Coast</t>
        </is>
      </c>
      <c r="B185" s="7" t="inlineStr">
        <is>
          <t>Port St. Lucie</t>
        </is>
      </c>
      <c r="C185" s="7" t="inlineStr">
        <is>
          <t>Golf/Gated</t>
        </is>
      </c>
      <c r="D185" s="7" t="inlineStr">
        <is>
          <t>Golf course, clubhouse, pool, fitness</t>
        </is>
      </c>
      <c r="E185" s="7" t="inlineStr">
        <is>
          <t>$300K–$600K</t>
        </is>
      </c>
      <c r="F185" s="7" t="inlineStr">
        <is>
          <t>Gated</t>
        </is>
      </c>
    </row>
    <row r="186">
      <c r="A186" s="4">
        <f>== TAMPA BAY AREA ===</f>
        <v/>
      </c>
      <c r="B186" s="5" t="n"/>
      <c r="C186" s="5" t="n"/>
      <c r="D186" s="5" t="n"/>
      <c r="E186" s="5" t="n"/>
      <c r="F186" s="6" t="n"/>
    </row>
    <row r="187">
      <c r="A187" s="8" t="inlineStr">
        <is>
          <t>Belcher Woods</t>
        </is>
      </c>
      <c r="B187" s="8" t="inlineStr">
        <is>
          <t>Largo</t>
        </is>
      </c>
      <c r="C187" s="8" t="inlineStr">
        <is>
          <t>Affordable Family</t>
        </is>
      </c>
      <c r="D187" s="8" t="inlineStr">
        <is>
          <t>Well-maintained, single-family &amp; condos, near beaches/shopping</t>
        </is>
      </c>
      <c r="E187" s="8" t="inlineStr">
        <is>
          <t>$200K–$500K</t>
        </is>
      </c>
      <c r="F187" s="8" t="inlineStr">
        <is>
          <t>Gated</t>
        </is>
      </c>
    </row>
    <row r="188">
      <c r="A188" s="7" t="inlineStr">
        <is>
          <t>Cordoba Estates</t>
        </is>
      </c>
      <c r="B188" s="7" t="inlineStr">
        <is>
          <t>Lutz</t>
        </is>
      </c>
      <c r="C188" s="7" t="inlineStr">
        <is>
          <t>Master-Planned</t>
        </is>
      </c>
      <c r="D188" s="7" t="inlineStr">
        <is>
          <t>Pool, dog park, playground, picnic area, tennis, 800+ acres</t>
        </is>
      </c>
      <c r="E188" s="7" t="inlineStr">
        <is>
          <t>$700K–$1.2M</t>
        </is>
      </c>
      <c r="F188" s="7" t="inlineStr">
        <is>
          <t>Gated</t>
        </is>
      </c>
    </row>
    <row r="189">
      <c r="A189" s="8" t="inlineStr">
        <is>
          <t>Culbreath Isles</t>
        </is>
      </c>
      <c r="B189" s="8" t="inlineStr">
        <is>
          <t>South Tampa</t>
        </is>
      </c>
      <c r="C189" s="8" t="inlineStr">
        <is>
          <t>Ultra-Luxury</t>
        </is>
      </c>
      <c r="D189" s="8" t="inlineStr">
        <is>
          <t>Canal-front to Tampa Bay, first gated neighborhood in Tampa</t>
        </is>
      </c>
      <c r="E189" s="8" t="inlineStr">
        <is>
          <t>$3M+</t>
        </is>
      </c>
      <c r="F189" s="8" t="inlineStr">
        <is>
          <t>Guard-gated</t>
        </is>
      </c>
    </row>
    <row r="190">
      <c r="A190" s="7" t="inlineStr">
        <is>
          <t>Grand Hampton</t>
        </is>
      </c>
      <c r="B190" s="7" t="inlineStr">
        <is>
          <t>New Tampa</t>
        </is>
      </c>
      <c r="C190" s="7" t="inlineStr">
        <is>
          <t>Family</t>
        </is>
      </c>
      <c r="D190" s="7" t="inlineStr">
        <is>
          <t>Pool, playground, fitness, near schools and shopping</t>
        </is>
      </c>
      <c r="E190" s="7" t="inlineStr">
        <is>
          <t>$500K–$800K</t>
        </is>
      </c>
      <c r="F190" s="7" t="inlineStr">
        <is>
          <t>Gated</t>
        </is>
      </c>
    </row>
    <row r="191">
      <c r="A191" s="8" t="inlineStr">
        <is>
          <t>Placido Bayou</t>
        </is>
      </c>
      <c r="B191" s="5" t="n"/>
      <c r="C191" s="5" t="n"/>
      <c r="D191" s="5" t="n"/>
      <c r="E191" s="5" t="n"/>
      <c r="F191" s="6" t="n"/>
    </row>
    <row r="192">
      <c r="A192" s="7" t="inlineStr">
        <is>
          <t>Seminole Woods</t>
        </is>
      </c>
      <c r="B192" s="7" t="inlineStr">
        <is>
          <t>Seminole</t>
        </is>
      </c>
      <c r="C192" s="7" t="inlineStr">
        <is>
          <t>Affordable Gated</t>
        </is>
      </c>
      <c r="D192" s="7" t="inlineStr">
        <is>
          <t>Maintained amenities, near beaches and shopping</t>
        </is>
      </c>
      <c r="E192" s="7" t="inlineStr">
        <is>
          <t>$200K–$500K</t>
        </is>
      </c>
      <c r="F192" s="7" t="inlineStr">
        <is>
          <t>Gated</t>
        </is>
      </c>
    </row>
    <row r="193">
      <c r="A193" s="7" t="inlineStr">
        <is>
          <t>Westchase</t>
        </is>
      </c>
      <c r="B193" s="7" t="inlineStr">
        <is>
          <t>Tampa</t>
        </is>
      </c>
      <c r="C193" s="7" t="inlineStr">
        <is>
          <t>Master-Planned</t>
        </is>
      </c>
      <c r="D193" s="7" t="inlineStr">
        <is>
          <t>Multiple pools, parks, trails, swim &amp; tennis, community events, top schools</t>
        </is>
      </c>
      <c r="E193" s="7" t="inlineStr">
        <is>
          <t>$300K–$1M+</t>
        </is>
      </c>
      <c r="F193" s="7" t="inlineStr">
        <is>
          <t>Gated sections</t>
        </is>
      </c>
    </row>
    <row r="194">
      <c r="A194" s="4">
        <f>== CENTRAL FLORIDA — ORLANDO / SEMINOLE / ORANGE COUNTY ===</f>
        <v/>
      </c>
      <c r="B194" s="5" t="n"/>
      <c r="C194" s="5" t="n"/>
      <c r="D194" s="5" t="n"/>
      <c r="E194" s="5" t="n"/>
      <c r="F194" s="6" t="n"/>
    </row>
    <row r="195">
      <c r="A195" s="7" t="inlineStr">
        <is>
          <t>Alaqua</t>
        </is>
      </c>
      <c r="B195" s="7" t="inlineStr">
        <is>
          <t>Longwood</t>
        </is>
      </c>
      <c r="C195" s="7" t="inlineStr">
        <is>
          <t>Ultra-Luxury</t>
        </is>
      </c>
      <c r="D195" s="7" t="inlineStr">
        <is>
          <t>Guard-gated, large estates, Markham Woods Corridor, country club access</t>
        </is>
      </c>
      <c r="E195" s="7" t="inlineStr">
        <is>
          <t>$1M–$5M+</t>
        </is>
      </c>
      <c r="F195" s="7" t="inlineStr">
        <is>
          <t>Guard-gated</t>
        </is>
      </c>
    </row>
    <row r="196">
      <c r="A196" s="8" t="inlineStr">
        <is>
          <t>Alaqua Lakes</t>
        </is>
      </c>
      <c r="B196" s="8" t="inlineStr">
        <is>
          <t>Longwood</t>
        </is>
      </c>
      <c r="C196" s="8" t="inlineStr">
        <is>
          <t>Luxury Golf</t>
        </is>
      </c>
      <c r="D196" s="8" t="inlineStr">
        <is>
          <t>Gary Player golf course, country club, member-owned equity</t>
        </is>
      </c>
      <c r="E196" s="8" t="inlineStr">
        <is>
          <t>$1M–$4M+</t>
        </is>
      </c>
      <c r="F196" s="8" t="inlineStr">
        <is>
          <t>Guard-gated</t>
        </is>
      </c>
    </row>
    <row r="197">
      <c r="A197" s="7" t="inlineStr">
        <is>
          <t>Avery Park</t>
        </is>
      </c>
      <c r="B197" s="5" t="n"/>
      <c r="C197" s="5" t="n"/>
      <c r="D197" s="5" t="n"/>
      <c r="E197" s="5" t="n"/>
      <c r="F197" s="6" t="n"/>
    </row>
    <row r="198">
      <c r="A198" s="8" t="inlineStr">
        <is>
          <t>Barclay Place at Heathrow</t>
        </is>
      </c>
      <c r="B198" s="8" t="inlineStr">
        <is>
          <t>Lake Mary</t>
        </is>
      </c>
      <c r="C198" s="8" t="inlineStr">
        <is>
          <t>Condo/Gated</t>
        </is>
      </c>
      <c r="D198" s="8" t="inlineStr">
        <is>
          <t>Small well-kept condos, Heathrow area</t>
        </is>
      </c>
      <c r="E198" s="8" t="inlineStr">
        <is>
          <t>$200K–$350K</t>
        </is>
      </c>
      <c r="F198" s="8" t="inlineStr">
        <is>
          <t>Gated</t>
        </is>
      </c>
    </row>
    <row r="199">
      <c r="A199" s="7" t="inlineStr">
        <is>
          <t>Berington Club</t>
        </is>
      </c>
      <c r="B199" s="7" t="inlineStr">
        <is>
          <t>Lake Mary area</t>
        </is>
      </c>
      <c r="C199" s="7" t="inlineStr">
        <is>
          <t>Gated</t>
        </is>
      </c>
      <c r="D199" s="7" t="inlineStr">
        <is>
          <t>120+ homes, playground, tennis court</t>
        </is>
      </c>
      <c r="E199" s="7" t="inlineStr">
        <is>
          <t>$300K–$500K</t>
        </is>
      </c>
      <c r="F199" s="7" t="inlineStr">
        <is>
          <t>Gated</t>
        </is>
      </c>
    </row>
    <row r="200">
      <c r="A200" s="8" t="inlineStr">
        <is>
          <t>Brantley Place</t>
        </is>
      </c>
      <c r="B200" s="8" t="inlineStr">
        <is>
          <t>Altamonte Springs</t>
        </is>
      </c>
      <c r="C200" s="8" t="inlineStr">
        <is>
          <t>Gated</t>
        </is>
      </c>
      <c r="D200" s="8" t="inlineStr">
        <is>
          <t>57 homes, near shopping, convenient to I-4</t>
        </is>
      </c>
      <c r="E200" s="8" t="inlineStr">
        <is>
          <t>$250K–$400K</t>
        </is>
      </c>
      <c r="F200" s="8" t="inlineStr">
        <is>
          <t>Gated</t>
        </is>
      </c>
    </row>
    <row r="201">
      <c r="A201" s="7" t="inlineStr">
        <is>
          <t>Calabria Cove</t>
        </is>
      </c>
      <c r="B201" s="7" t="inlineStr">
        <is>
          <t>Sanford</t>
        </is>
      </c>
      <c r="C201" s="7" t="inlineStr">
        <is>
          <t>Gated</t>
        </is>
      </c>
      <c r="D201" s="7" t="inlineStr">
        <is>
          <t>~35 homes, near shopping on Lake Mary Blvd</t>
        </is>
      </c>
      <c r="E201" s="7" t="inlineStr">
        <is>
          <t>$250K–$400K</t>
        </is>
      </c>
      <c r="F201" s="7" t="inlineStr">
        <is>
          <t>Gated</t>
        </is>
      </c>
    </row>
    <row r="202">
      <c r="A202" s="8" t="inlineStr">
        <is>
          <t>Capri Cove</t>
        </is>
      </c>
      <c r="B202" s="8" t="inlineStr">
        <is>
          <t>Sanford</t>
        </is>
      </c>
      <c r="C202" s="8" t="inlineStr">
        <is>
          <t>Gated</t>
        </is>
      </c>
      <c r="D202" s="8" t="inlineStr">
        <is>
          <t>~35 homes, near SR 46</t>
        </is>
      </c>
      <c r="E202" s="8" t="inlineStr">
        <is>
          <t>$200K–$350K</t>
        </is>
      </c>
      <c r="F202" s="8" t="inlineStr">
        <is>
          <t>Gated</t>
        </is>
      </c>
    </row>
    <row r="203">
      <c r="A203" s="7" t="inlineStr">
        <is>
          <t>Cardinal Glen</t>
        </is>
      </c>
      <c r="B203" s="7" t="inlineStr">
        <is>
          <t>Oviedo</t>
        </is>
      </c>
      <c r="C203" s="7" t="inlineStr">
        <is>
          <t>Custom/Gated</t>
        </is>
      </c>
      <c r="D203" s="7" t="inlineStr">
        <is>
          <t>40 custom home lots, upscale</t>
        </is>
      </c>
      <c r="E203" s="7" t="inlineStr">
        <is>
          <t>$350K–$500K</t>
        </is>
      </c>
      <c r="F203" s="7" t="inlineStr">
        <is>
          <t>Gated</t>
        </is>
      </c>
    </row>
    <row r="204">
      <c r="A204" s="8" t="inlineStr">
        <is>
          <t>Carisbrooke</t>
        </is>
      </c>
      <c r="B204" s="8" t="inlineStr">
        <is>
          <t>Longwood</t>
        </is>
      </c>
      <c r="C204" s="8" t="inlineStr">
        <is>
          <t>Luxury Gated</t>
        </is>
      </c>
      <c r="D204" s="8" t="inlineStr">
        <is>
          <t>44 lots, custom homes, Markham Woods</t>
        </is>
      </c>
      <c r="E204" s="8" t="inlineStr">
        <is>
          <t>$650K–$1M+</t>
        </is>
      </c>
      <c r="F204" s="8" t="inlineStr">
        <is>
          <t>Gated</t>
        </is>
      </c>
    </row>
    <row r="205">
      <c r="A205" s="7" t="inlineStr">
        <is>
          <t>Chapman Lakes</t>
        </is>
      </c>
      <c r="B205" s="7" t="inlineStr">
        <is>
          <t>Oviedo</t>
        </is>
      </c>
      <c r="C205" s="7" t="inlineStr">
        <is>
          <t>Gated</t>
        </is>
      </c>
      <c r="D205" s="7" t="inlineStr">
        <is>
          <t>Pool, community amenities</t>
        </is>
      </c>
      <c r="E205" s="7" t="inlineStr">
        <is>
          <t>$250K–$425K</t>
        </is>
      </c>
      <c r="F205" s="7" t="inlineStr">
        <is>
          <t>Gated</t>
        </is>
      </c>
    </row>
    <row r="206">
      <c r="A206" s="8" t="inlineStr">
        <is>
          <t>Coventry at Heathrow</t>
        </is>
      </c>
      <c r="B206" s="8" t="inlineStr">
        <is>
          <t>Lake Mary</t>
        </is>
      </c>
      <c r="C206" s="8" t="inlineStr">
        <is>
          <t>Luxury</t>
        </is>
      </c>
      <c r="D206" s="8" t="inlineStr">
        <is>
          <t>Taylor Morrison homes, within Heathrow, upscale</t>
        </is>
      </c>
      <c r="E206" s="8" t="inlineStr">
        <is>
          <t>$500K–$1M+</t>
        </is>
      </c>
      <c r="F206" s="8" t="inlineStr">
        <is>
          <t>Guard-gated</t>
        </is>
      </c>
    </row>
    <row r="207">
      <c r="A207" s="7" t="inlineStr">
        <is>
          <t>Dakotas</t>
        </is>
      </c>
      <c r="B207" s="5" t="n"/>
      <c r="C207" s="5" t="n"/>
      <c r="D207" s="5" t="n"/>
      <c r="E207" s="5" t="n"/>
      <c r="F207" s="6" t="n"/>
    </row>
    <row r="208">
      <c r="A208" s="8" t="inlineStr">
        <is>
          <t>DeBary Golf &amp; CC</t>
        </is>
      </c>
      <c r="B208" s="8" t="inlineStr">
        <is>
          <t>DeBary</t>
        </is>
      </c>
      <c r="C208" s="8" t="inlineStr">
        <is>
          <t>Golf/Gated</t>
        </is>
      </c>
      <c r="D208" s="8" t="inlineStr">
        <is>
          <t>Golf course, multiple gated neighborhoods (Cinnamon Bay, Lakeside, Fairway Hills, Estates)</t>
        </is>
      </c>
      <c r="E208" s="8" t="inlineStr">
        <is>
          <t>$300K–$800K</t>
        </is>
      </c>
      <c r="F208" s="8" t="inlineStr">
        <is>
          <t>Gated sections</t>
        </is>
      </c>
    </row>
    <row r="209">
      <c r="A209" s="7" t="inlineStr">
        <is>
          <t>Eagle's Watch</t>
        </is>
      </c>
      <c r="B209" s="7" t="inlineStr">
        <is>
          <t>Winter Springs</t>
        </is>
      </c>
      <c r="C209" s="7" t="inlineStr">
        <is>
          <t>Gated</t>
        </is>
      </c>
      <c r="D209" s="7" t="inlineStr">
        <is>
          <t>110 homes within Tuscawilla development</t>
        </is>
      </c>
      <c r="E209" s="7" t="inlineStr">
        <is>
          <t>$175K–$240K</t>
        </is>
      </c>
      <c r="F209" s="7" t="inlineStr">
        <is>
          <t>Gated</t>
        </is>
      </c>
    </row>
    <row r="210">
      <c r="A210" s="8" t="inlineStr">
        <is>
          <t>Egret's Landing</t>
        </is>
      </c>
      <c r="B210" s="8" t="inlineStr">
        <is>
          <t>Lake Mary</t>
        </is>
      </c>
      <c r="C210" s="8" t="inlineStr">
        <is>
          <t>Gated</t>
        </is>
      </c>
      <c r="D210" s="8" t="inlineStr">
        <is>
          <t>~220 homes, DR Horton built, pool</t>
        </is>
      </c>
      <c r="E210" s="8" t="inlineStr">
        <is>
          <t>$300K–$500K</t>
        </is>
      </c>
      <c r="F210" s="8" t="inlineStr">
        <is>
          <t>Gated</t>
        </is>
      </c>
    </row>
    <row r="211">
      <c r="A211" s="7" t="inlineStr">
        <is>
          <t>Ellington Estates</t>
        </is>
      </c>
      <c r="B211" s="7" t="inlineStr">
        <is>
          <t>Oviedo</t>
        </is>
      </c>
      <c r="C211" s="7" t="inlineStr">
        <is>
          <t>Custom/Gated</t>
        </is>
      </c>
      <c r="D211" s="7" t="inlineStr">
        <is>
          <t>30 lot custom home community</t>
        </is>
      </c>
      <c r="E211" s="7" t="inlineStr">
        <is>
          <t>$400K–$800K</t>
        </is>
      </c>
      <c r="F211" s="7" t="inlineStr">
        <is>
          <t>Gated</t>
        </is>
      </c>
    </row>
    <row r="212">
      <c r="A212" s="8" t="inlineStr">
        <is>
          <t>Golden Oak (Disney)</t>
        </is>
      </c>
      <c r="B212" s="8" t="inlineStr">
        <is>
          <t>Orlando</t>
        </is>
      </c>
      <c r="C212" s="8" t="inlineStr">
        <is>
          <t>Ultra-Luxury</t>
        </is>
      </c>
      <c r="D212" s="8" t="inlineStr">
        <is>
          <t>Within Walt Disney World, concierge, private park experiences, Disney design</t>
        </is>
      </c>
      <c r="E212" s="8" t="inlineStr">
        <is>
          <t>$2M–$15M+</t>
        </is>
      </c>
      <c r="F212" s="8" t="inlineStr">
        <is>
          <t>Guard-gated</t>
        </is>
      </c>
    </row>
    <row r="213">
      <c r="A213" s="7" t="inlineStr">
        <is>
          <t>Grand Hampton at MetroWest</t>
        </is>
      </c>
      <c r="B213" s="7" t="inlineStr">
        <is>
          <t>Orlando</t>
        </is>
      </c>
      <c r="C213" s="7" t="inlineStr">
        <is>
          <t>Gated</t>
        </is>
      </c>
      <c r="D213" s="7" t="inlineStr">
        <is>
          <t>Pool, fitness, near downtown Orlando</t>
        </is>
      </c>
      <c r="E213" s="7" t="inlineStr">
        <is>
          <t>$300K–$500K</t>
        </is>
      </c>
      <c r="F213" s="7" t="inlineStr">
        <is>
          <t>Gated</t>
        </is>
      </c>
    </row>
    <row r="214">
      <c r="A214" s="8" t="inlineStr">
        <is>
          <t>Hamptons at MetroWest</t>
        </is>
      </c>
      <c r="B214" s="8" t="inlineStr">
        <is>
          <t>Orlando</t>
        </is>
      </c>
      <c r="C214" s="8" t="inlineStr">
        <is>
          <t>Condo/Gated</t>
        </is>
      </c>
      <c r="D214" s="8" t="inlineStr">
        <is>
          <t>743 homes, 2 pools, 2 spas, gym, BBQ, walking paths, town square</t>
        </is>
      </c>
      <c r="E214" s="8" t="inlineStr">
        <is>
          <t>$200K–$400K</t>
        </is>
      </c>
      <c r="F214" s="8" t="inlineStr">
        <is>
          <t>Gated</t>
        </is>
      </c>
    </row>
    <row r="215">
      <c r="A215" s="7" t="inlineStr">
        <is>
          <t>Heathrow</t>
        </is>
      </c>
      <c r="B215" s="7" t="inlineStr">
        <is>
          <t>Lake Mary</t>
        </is>
      </c>
      <c r="C215" s="7" t="inlineStr">
        <is>
          <t>Master-Planned Luxury</t>
        </is>
      </c>
      <c r="D215" s="7" t="inlineStr">
        <is>
          <t>1,900+ homes, multiple neighborhoods, golf, near shopping</t>
        </is>
      </c>
      <c r="E215" s="7" t="inlineStr">
        <is>
          <t>$400K–$2M+</t>
        </is>
      </c>
      <c r="F215" s="7" t="inlineStr">
        <is>
          <t>Guard-gated</t>
        </is>
      </c>
    </row>
    <row r="216">
      <c r="A216" s="8" t="inlineStr">
        <is>
          <t>Heathrow Woods</t>
        </is>
      </c>
      <c r="B216" s="8" t="inlineStr">
        <is>
          <t>Lake Mary</t>
        </is>
      </c>
      <c r="C216" s="8" t="inlineStr">
        <is>
          <t>Luxury Custom</t>
        </is>
      </c>
      <c r="D216" s="8" t="inlineStr">
        <is>
          <t>208 lots, 1+ acre min, custom homes, Markham Woods</t>
        </is>
      </c>
      <c r="E216" s="8" t="inlineStr">
        <is>
          <t>$550K–$3M</t>
        </is>
      </c>
      <c r="F216" s="8" t="inlineStr">
        <is>
          <t>Gated</t>
        </is>
      </c>
    </row>
    <row r="217">
      <c r="A217" s="7" t="inlineStr">
        <is>
          <t>Isleworth</t>
        </is>
      </c>
      <c r="B217" s="7" t="inlineStr">
        <is>
          <t>Windermere</t>
        </is>
      </c>
      <c r="C217" s="7" t="inlineStr">
        <is>
          <t>Ultra-Luxury</t>
        </is>
      </c>
      <c r="D217" s="7" t="inlineStr">
        <is>
          <t>600 acres, Butler Chain of Lakes, Mediterranean clubhouse, fitness, spa, dining, golf, tennis</t>
        </is>
      </c>
      <c r="E217" s="7" t="inlineStr">
        <is>
          <t>$2M–$7M+</t>
        </is>
      </c>
      <c r="F217" s="7" t="inlineStr">
        <is>
          <t>Guard-gated</t>
        </is>
      </c>
    </row>
    <row r="218">
      <c r="A218" s="8" t="inlineStr">
        <is>
          <t>Keenes Pointe</t>
        </is>
      </c>
      <c r="B218" s="8" t="inlineStr">
        <is>
          <t>Windermere</t>
        </is>
      </c>
      <c r="C218" s="8" t="inlineStr">
        <is>
          <t>Luxury Golf</t>
        </is>
      </c>
      <c r="D218" s="8" t="inlineStr">
        <is>
          <t>Golden Bear Club (Jack Nicklaus 18-hole), tennis, pools, fitness, lake views</t>
        </is>
      </c>
      <c r="E218" s="8" t="inlineStr">
        <is>
          <t>$1M–$2M+</t>
        </is>
      </c>
      <c r="F218" s="8" t="inlineStr">
        <is>
          <t>Guard-gated</t>
        </is>
      </c>
    </row>
    <row r="219">
      <c r="A219" s="7" t="inlineStr">
        <is>
          <t>Lake Nona Golf &amp; CC</t>
        </is>
      </c>
      <c r="B219" s="7" t="inlineStr">
        <is>
          <t>Orlando</t>
        </is>
      </c>
      <c r="C219" s="7" t="inlineStr">
        <is>
          <t>Luxury Golf</t>
        </is>
      </c>
      <c r="D219" s="7" t="inlineStr">
        <is>
          <t>Championship golf, fitness, pool, luxury living, near Medical City</t>
        </is>
      </c>
      <c r="E219" s="7" t="inlineStr">
        <is>
          <t>$1M–$5M+</t>
        </is>
      </c>
      <c r="F219" s="7" t="inlineStr">
        <is>
          <t>Guard-gated</t>
        </is>
      </c>
    </row>
    <row r="220">
      <c r="A220" s="8" t="inlineStr">
        <is>
          <t>Longwood Club</t>
        </is>
      </c>
      <c r="B220" s="8" t="inlineStr">
        <is>
          <t>Longwood</t>
        </is>
      </c>
      <c r="C220" s="8" t="inlineStr">
        <is>
          <t>Gated</t>
        </is>
      </c>
      <c r="D220" s="8" t="inlineStr">
        <is>
          <t>76 lots, Beazer Homes</t>
        </is>
      </c>
      <c r="E220" s="8" t="inlineStr">
        <is>
          <t>$250K–$335K</t>
        </is>
      </c>
      <c r="F220" s="8" t="inlineStr">
        <is>
          <t>Gated</t>
        </is>
      </c>
    </row>
    <row r="221">
      <c r="A221" s="7" t="inlineStr">
        <is>
          <t>Magnolia Plantation</t>
        </is>
      </c>
      <c r="B221" s="7" t="inlineStr">
        <is>
          <t>Lake Mary</t>
        </is>
      </c>
      <c r="C221" s="7" t="inlineStr">
        <is>
          <t>Golf/Gated</t>
        </is>
      </c>
      <c r="D221" s="7" t="inlineStr">
        <is>
          <t>498 lots, Gary Player golf course, production &amp; custom homes</t>
        </is>
      </c>
      <c r="E221" s="7" t="inlineStr">
        <is>
          <t>$400K–$1.5M</t>
        </is>
      </c>
      <c r="F221" s="7" t="inlineStr">
        <is>
          <t>Gated</t>
        </is>
      </c>
    </row>
    <row r="222">
      <c r="A222" s="8" t="inlineStr">
        <is>
          <t>Provence</t>
        </is>
      </c>
      <c r="B222" s="8" t="inlineStr">
        <is>
          <t>Lake Mary</t>
        </is>
      </c>
      <c r="C222" s="8" t="inlineStr">
        <is>
          <t>Custom/Gated</t>
        </is>
      </c>
      <c r="D222" s="8" t="inlineStr">
        <is>
          <t>Custom homes within Heathrow area</t>
        </is>
      </c>
      <c r="E222" s="8" t="inlineStr">
        <is>
          <t>$600K–$1.5M</t>
        </is>
      </c>
      <c r="F222" s="8" t="inlineStr">
        <is>
          <t>Gated</t>
        </is>
      </c>
    </row>
    <row r="223">
      <c r="A223" s="7" t="inlineStr">
        <is>
          <t>Sand Lake Sound</t>
        </is>
      </c>
      <c r="B223" s="7" t="inlineStr">
        <is>
          <t>Dr. Phillips</t>
        </is>
      </c>
      <c r="C223" s="7" t="inlineStr">
        <is>
          <t>Gated/Resort</t>
        </is>
      </c>
      <c r="D223" s="7" t="inlineStr">
        <is>
          <t>Resort pool, clubhouse, fitness, playground, boat dock, near theme parks</t>
        </is>
      </c>
      <c r="E223" s="7" t="inlineStr">
        <is>
          <t>$400K–$800K</t>
        </is>
      </c>
      <c r="F223" s="7" t="inlineStr">
        <is>
          <t>Gated</t>
        </is>
      </c>
    </row>
    <row r="224">
      <c r="A224" s="8" t="inlineStr">
        <is>
          <t>Sandpointe Townhomes</t>
        </is>
      </c>
      <c r="B224" s="8" t="inlineStr">
        <is>
          <t>Orlando</t>
        </is>
      </c>
      <c r="C224" s="8" t="inlineStr">
        <is>
          <t>Gated</t>
        </is>
      </c>
      <c r="D224" s="8" t="inlineStr">
        <is>
          <t>Pool, fitness, bocce, shuffleboard, tennis, near Disney</t>
        </is>
      </c>
      <c r="E224" s="8" t="inlineStr">
        <is>
          <t>$200K–$400K</t>
        </is>
      </c>
      <c r="F224" s="8" t="inlineStr">
        <is>
          <t>Gated</t>
        </is>
      </c>
    </row>
    <row r="225">
      <c r="A225" s="7" t="inlineStr">
        <is>
          <t>Stoneybrook (West)</t>
        </is>
      </c>
      <c r="B225" s="7" t="inlineStr">
        <is>
          <t>Winter Garden</t>
        </is>
      </c>
      <c r="C225" s="7" t="inlineStr">
        <is>
          <t>Golf/Gated</t>
        </is>
      </c>
      <c r="D225" s="7" t="inlineStr">
        <is>
          <t>Arthur Hills 18-hole golf, clubhouse, fitness, resort pool, lake fishing/boating</t>
        </is>
      </c>
      <c r="E225" s="7" t="inlineStr">
        <is>
          <t>$300K–$700K</t>
        </is>
      </c>
      <c r="F225" s="7" t="inlineStr">
        <is>
          <t>Gated</t>
        </is>
      </c>
    </row>
    <row r="226">
      <c r="A226" s="8" t="inlineStr">
        <is>
          <t>Turtle Creek</t>
        </is>
      </c>
      <c r="B226" s="8" t="inlineStr">
        <is>
          <t>Dr. Phillips</t>
        </is>
      </c>
      <c r="C226" s="8" t="inlineStr">
        <is>
          <t>Gated</t>
        </is>
      </c>
      <c r="D226" s="8" t="inlineStr">
        <is>
          <t>Pool, clubhouse, near Disney Springs and outlets</t>
        </is>
      </c>
      <c r="E226" s="8" t="inlineStr">
        <is>
          <t>$300K–$600K</t>
        </is>
      </c>
      <c r="F226" s="8" t="inlineStr">
        <is>
          <t>Gated</t>
        </is>
      </c>
    </row>
    <row r="227">
      <c r="A227" s="7" t="inlineStr">
        <is>
          <t>Waterbrooke</t>
        </is>
      </c>
      <c r="B227" s="7" t="inlineStr">
        <is>
          <t>Clermont</t>
        </is>
      </c>
      <c r="C227" s="7" t="inlineStr">
        <is>
          <t>Guard-Gated</t>
        </is>
      </c>
      <c r="D227" s="7" t="inlineStr">
        <is>
          <t>Resort pool, splash pad, fitness, trails, playground, sports courts</t>
        </is>
      </c>
      <c r="E227" s="7" t="inlineStr">
        <is>
          <t>$300K–$600K</t>
        </is>
      </c>
      <c r="F227" s="7" t="inlineStr">
        <is>
          <t>Guard-gated</t>
        </is>
      </c>
    </row>
    <row r="228">
      <c r="A228" s="8" t="inlineStr">
        <is>
          <t>Woodbridge Lakes</t>
        </is>
      </c>
      <c r="B228" s="8" t="inlineStr">
        <is>
          <t>Lake Mary</t>
        </is>
      </c>
      <c r="C228" s="8" t="inlineStr">
        <is>
          <t>Gated</t>
        </is>
      </c>
      <c r="D228" s="8" t="inlineStr">
        <is>
          <t>276 homes, pool, community amenities</t>
        </is>
      </c>
      <c r="E228" s="8" t="inlineStr">
        <is>
          <t>$200K–$340K</t>
        </is>
      </c>
      <c r="F228" s="8" t="inlineStr">
        <is>
          <t>Gated</t>
        </is>
      </c>
    </row>
    <row r="229">
      <c r="A229" s="4">
        <f>== CENTRAL FL — OCALA / VILLAGES / RETIREMENT ===</f>
        <v/>
      </c>
      <c r="B229" s="5" t="n"/>
      <c r="C229" s="5" t="n"/>
      <c r="D229" s="5" t="n"/>
      <c r="E229" s="5" t="n"/>
      <c r="F229" s="6" t="n"/>
    </row>
    <row r="230">
      <c r="A230" s="7" t="inlineStr">
        <is>
          <t>Villages of Citrus Hills</t>
        </is>
      </c>
      <c r="B230" s="7" t="inlineStr">
        <is>
          <t>Citrus Hills</t>
        </is>
      </c>
      <c r="C230" s="7" t="inlineStr">
        <is>
          <t>All Age</t>
        </is>
      </c>
      <c r="D230" s="7" t="inlineStr">
        <is>
          <t>Golf, tennis, fitness, fine dining, swimming, social clubs, rolling hills to 260 ft</t>
        </is>
      </c>
      <c r="E230" s="7" t="inlineStr">
        <is>
          <t>$500K–$2M</t>
        </is>
      </c>
      <c r="F230" s="7" t="inlineStr">
        <is>
          <t>Gated</t>
        </is>
      </c>
    </row>
    <row r="231">
      <c r="A231" s="8" t="inlineStr">
        <is>
          <t>West Hill Estates</t>
        </is>
      </c>
      <c r="B231" s="8" t="inlineStr">
        <is>
          <t>Dade City</t>
        </is>
      </c>
      <c r="C231" s="8" t="inlineStr">
        <is>
          <t>All Age Gated</t>
        </is>
      </c>
      <c r="D231" s="8" t="inlineStr">
        <is>
          <t>Large homesites, Lake Jovita Golf &amp; CC membership included, scenic</t>
        </is>
      </c>
      <c r="E231" s="8" t="inlineStr">
        <is>
          <t>$700K+</t>
        </is>
      </c>
      <c r="F231" s="8" t="inlineStr">
        <is>
          <t>Gated</t>
        </is>
      </c>
    </row>
    <row r="232">
      <c r="A232" s="4">
        <f>== NORTHEAST FL — JACKSONVILLE / ST. AUGUSTINE ===</f>
        <v/>
      </c>
      <c r="B232" s="5" t="n"/>
      <c r="C232" s="5" t="n"/>
      <c r="D232" s="5" t="n"/>
      <c r="E232" s="5" t="n"/>
      <c r="F232" s="6" t="n"/>
    </row>
    <row r="233">
      <c r="A233" s="8" t="inlineStr">
        <is>
          <t>ETown</t>
        </is>
      </c>
      <c r="B233" s="8" t="inlineStr">
        <is>
          <t>Jacksonville</t>
        </is>
      </c>
      <c r="C233" s="8" t="inlineStr">
        <is>
          <t>Master-Planned</t>
        </is>
      </c>
      <c r="D233" s="8" t="inlineStr">
        <is>
          <t>Recharge 5-acre amenity (pool, fitness, sports, trails), multiple gated neighborhoods</t>
        </is>
      </c>
      <c r="E233" s="8" t="inlineStr">
        <is>
          <t>$300K–$1M+</t>
        </is>
      </c>
      <c r="F233" s="8" t="inlineStr">
        <is>
          <t>Gated sections</t>
        </is>
      </c>
    </row>
    <row r="234">
      <c r="A234" s="7" t="inlineStr">
        <is>
          <t>Glen Kernan Golf &amp; CC</t>
        </is>
      </c>
      <c r="B234" s="7" t="inlineStr">
        <is>
          <t>Jacksonville</t>
        </is>
      </c>
      <c r="C234" s="7" t="inlineStr">
        <is>
          <t>Luxury Golf</t>
        </is>
      </c>
      <c r="D234" s="7" t="inlineStr">
        <is>
          <t>18-hole championship golf, 20,000 sq ft clubhouse, tennis, Jr. Olympic saltwater pool, fitness, playground, 350 custom homes (3,200+ sq ft min)</t>
        </is>
      </c>
      <c r="E234" s="7" t="inlineStr">
        <is>
          <t>$500K–$1M+</t>
        </is>
      </c>
      <c r="F234" s="7" t="inlineStr">
        <is>
          <t>24-hr guard gate</t>
        </is>
      </c>
    </row>
    <row r="235">
      <c r="A235" s="8" t="inlineStr">
        <is>
          <t>Jax Golf &amp; Country Club</t>
        </is>
      </c>
      <c r="B235" s="8" t="inlineStr">
        <is>
          <t>Jacksonville</t>
        </is>
      </c>
      <c r="C235" s="8" t="inlineStr">
        <is>
          <t>Golf/Gated</t>
        </is>
      </c>
      <c r="D235" s="8" t="inlineStr">
        <is>
          <t>1,000+ homes, golf course, clubhouse amenities</t>
        </is>
      </c>
      <c r="E235" s="8" t="inlineStr">
        <is>
          <t>$500K–$1M+</t>
        </is>
      </c>
      <c r="F235" s="8" t="inlineStr">
        <is>
          <t>Gated</t>
        </is>
      </c>
    </row>
    <row r="236">
      <c r="A236" s="7" t="inlineStr">
        <is>
          <t>Middlebourne</t>
        </is>
      </c>
      <c r="B236" s="7" t="inlineStr">
        <is>
          <t>St. Johns</t>
        </is>
      </c>
      <c r="C236" s="7" t="inlineStr">
        <is>
          <t>Master-Planned</t>
        </is>
      </c>
      <c r="D236" s="7" t="inlineStr">
        <is>
          <t>Pool, clubhouse, playground, trails, golf cart access, top schools</t>
        </is>
      </c>
      <c r="E236" s="7" t="inlineStr">
        <is>
          <t>$400K–$700K</t>
        </is>
      </c>
      <c r="F236" s="7" t="inlineStr">
        <is>
          <t>Gated</t>
        </is>
      </c>
    </row>
    <row r="237">
      <c r="A237" s="8" t="inlineStr">
        <is>
          <t>Nocatee</t>
        </is>
      </c>
      <c r="B237" s="8" t="inlineStr">
        <is>
          <t>Ponte Vedra</t>
        </is>
      </c>
      <c r="C237" s="8" t="inlineStr">
        <is>
          <t>Master-Planned</t>
        </is>
      </c>
      <c r="D237" s="8" t="inlineStr">
        <is>
          <t>Splash water park, pools, fitness, 5,000+ acres nature preserves, schools, trails, dog park, kayak</t>
        </is>
      </c>
      <c r="E237" s="8" t="inlineStr">
        <is>
          <t>$400K–$2M+</t>
        </is>
      </c>
      <c r="F237" s="8" t="inlineStr">
        <is>
          <t>Various gated</t>
        </is>
      </c>
    </row>
    <row r="238">
      <c r="A238" s="7" t="inlineStr">
        <is>
          <t>Palermo</t>
        </is>
      </c>
      <c r="B238" s="7" t="inlineStr">
        <is>
          <t>Jacksonville</t>
        </is>
      </c>
      <c r="C238" s="7" t="inlineStr">
        <is>
          <t>European Luxury</t>
        </is>
      </c>
      <c r="D238" s="7" t="inlineStr">
        <is>
          <t>Pool, lanai, loggia, multi-purpose rooms, exercise, European village ambiance</t>
        </is>
      </c>
      <c r="E238" s="7" t="inlineStr">
        <is>
          <t>$500K–$1.5M</t>
        </is>
      </c>
      <c r="F238" s="7" t="inlineStr">
        <is>
          <t>Gated</t>
        </is>
      </c>
    </row>
    <row r="239">
      <c r="A239" s="8" t="inlineStr">
        <is>
          <t>Palm Coast Plantation</t>
        </is>
      </c>
      <c r="B239" s="8" t="inlineStr">
        <is>
          <t>Palm Coast</t>
        </is>
      </c>
      <c r="C239" s="8" t="inlineStr">
        <is>
          <t>Waterfront Gated</t>
        </is>
      </c>
      <c r="D239" s="8" t="inlineStr">
        <is>
          <t>Intracoastal Waterway, pool, fitness, walking trails</t>
        </is>
      </c>
      <c r="E239" s="8" t="inlineStr">
        <is>
          <t>$400K–$1.5M</t>
        </is>
      </c>
      <c r="F239" s="8" t="inlineStr">
        <is>
          <t>Gated</t>
        </is>
      </c>
    </row>
    <row r="240">
      <c r="A240" s="7" t="inlineStr">
        <is>
          <t>Plantation Bay</t>
        </is>
      </c>
      <c r="B240" s="7" t="inlineStr">
        <is>
          <t>Ormond Beach</t>
        </is>
      </c>
      <c r="C240" s="7" t="inlineStr">
        <is>
          <t>Golf/Tennis</t>
        </is>
      </c>
      <c r="D240" s="7" t="inlineStr">
        <is>
          <t>45 holes golf, 2 clubhouses, 40,500 sq ft Golf Center, 10 tennis courts, 10 pickleball, pool pavilion, trails</t>
        </is>
      </c>
      <c r="E240" s="7" t="inlineStr">
        <is>
          <t>$400K–$4.9M</t>
        </is>
      </c>
      <c r="F240" s="7" t="inlineStr">
        <is>
          <t>Guard-gated</t>
        </is>
      </c>
    </row>
    <row r="241">
      <c r="A241" s="8" t="inlineStr">
        <is>
          <t>Queen's Harbour Yacht &amp; CC</t>
        </is>
      </c>
      <c r="B241" s="8" t="inlineStr">
        <is>
          <t>Jacksonville</t>
        </is>
      </c>
      <c r="C241" s="8" t="inlineStr">
        <is>
          <t>Waterfront/Golf</t>
        </is>
      </c>
      <c r="D241" s="8" t="inlineStr">
        <is>
          <t>Waterfront, golf, marina, clubhouse, tennis, pool, fitness</t>
        </is>
      </c>
      <c r="E241" s="8" t="inlineStr">
        <is>
          <t>$500K–$2M+</t>
        </is>
      </c>
      <c r="F241" s="8" t="inlineStr">
        <is>
          <t>Guard-gated</t>
        </is>
      </c>
    </row>
    <row r="242">
      <c r="A242" s="7" t="inlineStr">
        <is>
          <t>Seven Pines Island</t>
        </is>
      </c>
      <c r="B242" s="5" t="n"/>
      <c r="C242" s="5" t="n"/>
      <c r="D242" s="5" t="n"/>
      <c r="E242" s="5" t="n"/>
      <c r="F242" s="6" t="n"/>
    </row>
    <row r="243">
      <c r="A243" s="8" t="inlineStr">
        <is>
          <t>SilverLeaf</t>
        </is>
      </c>
      <c r="B243" s="8" t="inlineStr">
        <is>
          <t>St. Augustine</t>
        </is>
      </c>
      <c r="C243" s="8" t="inlineStr">
        <is>
          <t>Master-Planned</t>
        </is>
      </c>
      <c r="D243" s="8" t="inlineStr">
        <is>
          <t>Parks, pools, fitness, 3,500+ acres preserved land, resort amenities</t>
        </is>
      </c>
      <c r="E243" s="8" t="inlineStr">
        <is>
          <t>$400K–$1.5M</t>
        </is>
      </c>
      <c r="F243" s="8" t="inlineStr">
        <is>
          <t>Gated</t>
        </is>
      </c>
    </row>
    <row r="244">
      <c r="A244" s="8" t="inlineStr">
        <is>
          <t>Tamaya</t>
        </is>
      </c>
      <c r="B244" s="8" t="inlineStr">
        <is>
          <t>Jacksonville</t>
        </is>
      </c>
      <c r="C244" s="8" t="inlineStr">
        <is>
          <t>Luxury Family</t>
        </is>
      </c>
      <c r="D244" s="8" t="inlineStr">
        <is>
          <t>10,000 sq ft amenity center, fitness, 2 pools, tennis, event lawn, cabanas, 2-story staffed gatehouse, 2,400 homes</t>
        </is>
      </c>
      <c r="E244" s="8" t="inlineStr">
        <is>
          <t>$600K–$1.6M</t>
        </is>
      </c>
      <c r="F244" s="8" t="inlineStr">
        <is>
          <t>Staffed gatehouse</t>
        </is>
      </c>
    </row>
    <row r="245">
      <c r="A245" s="7" t="inlineStr">
        <is>
          <t>Tidewater</t>
        </is>
      </c>
      <c r="B245" s="7" t="inlineStr">
        <is>
          <t>Jacksonville</t>
        </is>
      </c>
      <c r="C245" s="7" t="inlineStr">
        <is>
          <t>Coastal/Family</t>
        </is>
      </c>
      <c r="D245" s="7" t="inlineStr">
        <is>
          <t>Nature park, clubhouse, fitness, pool, playground, basketball, plantation-style homes</t>
        </is>
      </c>
      <c r="E245" s="7" t="inlineStr">
        <is>
          <t>$450K–$1.2M</t>
        </is>
      </c>
      <c r="F245" s="7" t="inlineStr">
        <is>
          <t>Gated</t>
        </is>
      </c>
    </row>
    <row r="246">
      <c r="A246" s="4">
        <f>== FLORIDA PANHANDLE &amp; EMERALD COAST ===</f>
        <v/>
      </c>
      <c r="B246" s="5" t="n"/>
      <c r="C246" s="5" t="n"/>
      <c r="D246" s="5" t="n"/>
      <c r="E246" s="5" t="n"/>
      <c r="F246" s="6" t="n"/>
    </row>
    <row r="247">
      <c r="A247" s="7" t="inlineStr">
        <is>
          <t>Burnt Pine</t>
        </is>
      </c>
      <c r="B247" s="7" t="inlineStr">
        <is>
          <t>Sandestin</t>
        </is>
      </c>
      <c r="C247" s="7" t="inlineStr">
        <is>
          <t>Ultra-Luxury Golf</t>
        </is>
      </c>
      <c r="D247" s="7" t="inlineStr">
        <is>
          <t>Rees Jones golf, private beach, exclusive within Sandestin</t>
        </is>
      </c>
      <c r="E247" s="7" t="inlineStr">
        <is>
          <t>$1M–$5M+</t>
        </is>
      </c>
      <c r="F247" s="7" t="inlineStr">
        <is>
          <t>Guard-gated</t>
        </is>
      </c>
    </row>
    <row r="248">
      <c r="A248" s="8" t="inlineStr">
        <is>
          <t>Kelly Plantation</t>
        </is>
      </c>
      <c r="B248" s="8" t="inlineStr">
        <is>
          <t>Destin</t>
        </is>
      </c>
      <c r="C248" s="8" t="inlineStr">
        <is>
          <t>Golf/Coastal</t>
        </is>
      </c>
      <c r="D248" s="8" t="inlineStr">
        <is>
          <t>Fred Couples/Gene Bates golf, clubhouse, tennis, pool, fitness, Choctawhatchee Bay views</t>
        </is>
      </c>
      <c r="E248" s="8" t="inlineStr">
        <is>
          <t>$500K–$3M+</t>
        </is>
      </c>
      <c r="F248" s="8" t="inlineStr">
        <is>
          <t>Guard-gated</t>
        </is>
      </c>
    </row>
    <row r="249">
      <c r="A249" s="7" t="inlineStr">
        <is>
          <t>Sandestin Golf &amp; Beach Resort</t>
        </is>
      </c>
      <c r="B249" s="7" t="inlineStr">
        <is>
          <t>Destin</t>
        </is>
      </c>
      <c r="C249" s="7" t="inlineStr">
        <is>
          <t>Resort/Golf</t>
        </is>
      </c>
      <c r="D249" s="7" t="inlineStr">
        <is>
          <t>4 golf courses, 15 tennis courts, marina, private beach, fitness, pools, 30+ restaurants, spa</t>
        </is>
      </c>
      <c r="E249" s="7" t="inlineStr">
        <is>
          <t>$300K–$3M+</t>
        </is>
      </c>
      <c r="F249" s="7" t="inlineStr">
        <is>
          <t>Gated resort</t>
        </is>
      </c>
    </row>
    <row r="250">
      <c r="A250" s="8" t="inlineStr">
        <is>
          <t>WaterColor</t>
        </is>
      </c>
      <c r="B250" s="8" t="inlineStr">
        <is>
          <t>Santa Rosa Beach</t>
        </is>
      </c>
      <c r="C250" s="8" t="inlineStr">
        <is>
          <t>Luxury Resort</t>
        </is>
      </c>
      <c r="D250" s="8" t="inlineStr">
        <is>
          <t>Beachfront, boathouse, pools, tennis, nature trails, camp, restaurants, 499 acres</t>
        </is>
      </c>
      <c r="E250" s="8" t="inlineStr">
        <is>
          <t>$800K–$5M+</t>
        </is>
      </c>
      <c r="F250" s="8" t="inlineStr">
        <is>
          <t>Gated</t>
        </is>
      </c>
    </row>
    <row r="251">
      <c r="A251" s="7" t="inlineStr">
        <is>
          <t>WaterSound</t>
        </is>
      </c>
      <c r="B251" s="7" t="inlineStr">
        <is>
          <t>Panama City Beach</t>
        </is>
      </c>
      <c r="C251" s="7" t="inlineStr">
        <is>
          <t>Luxury Coastal</t>
        </is>
      </c>
      <c r="D251" s="7" t="inlineStr">
        <is>
          <t>Private beach, pool, fitness, trails, nature preserve</t>
        </is>
      </c>
      <c r="E251" s="7" t="inlineStr">
        <is>
          <t>$1M–$5M+</t>
        </is>
      </c>
      <c r="F251" s="7" t="inlineStr">
        <is>
          <t>Gated</t>
        </is>
      </c>
    </row>
    <row r="252">
      <c r="A252" s="8" t="inlineStr">
        <is>
          <t>Regatta Bay</t>
        </is>
      </c>
      <c r="B252" s="8" t="inlineStr">
        <is>
          <t>Destin</t>
        </is>
      </c>
      <c r="C252" s="8" t="inlineStr">
        <is>
          <t>Golf/Gated</t>
        </is>
      </c>
      <c r="D252" s="8" t="inlineStr">
        <is>
          <t>Golf course, clubhouse, pool, fitness, waterfront</t>
        </is>
      </c>
      <c r="E252" s="8" t="inlineStr">
        <is>
          <t>$400K–$1.5M</t>
        </is>
      </c>
      <c r="F252" s="8" t="inlineStr">
        <is>
          <t>Gated</t>
        </is>
      </c>
    </row>
    <row r="254"/>
    <row r="269"/>
  </sheetData>
  <mergeCells count="14">
    <mergeCell ref="A2:F2"/>
    <mergeCell ref="A242:F242"/>
    <mergeCell ref="A191:F191"/>
    <mergeCell ref="A128:F128"/>
    <mergeCell ref="A177:F177"/>
    <mergeCell ref="A207:F207"/>
    <mergeCell ref="A269:F269"/>
    <mergeCell ref="A103:F103"/>
    <mergeCell ref="A1:F1"/>
    <mergeCell ref="A5:F5"/>
    <mergeCell ref="A197:F197"/>
    <mergeCell ref="A254:F254"/>
    <mergeCell ref="A168:F168"/>
    <mergeCell ref="A147:F1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2026-02-26T15:28:47Z</dcterms:created>
  <dcterms:modified xmlns:dcterms="http://purl.org/dc/terms/" xmlns:xsi="http://www.w3.org/2001/XMLSchema-instance" xsi:type="dcterms:W3CDTF">2026-02-26T15:28:47Z</dcterms:modified>
</cp:coreProperties>
</file>